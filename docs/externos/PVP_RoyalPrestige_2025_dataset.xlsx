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PVP" sheetId="1" state="visible" r:id="rId3"/>
    <sheet name="Reglas Comerciales" sheetId="2" state="visible" r:id="rId4"/>
    <sheet name="Resumen Categorías" sheetId="3" state="visible" r:id="rId5"/>
  </sheets>
  <definedNames>
    <definedName function="false" hidden="true" localSheetId="0" name="_xlnm._FilterDatabase" vbProcedure="false">'Catálogo PVP'!$A$1:$I$129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<sst xmlns="http://schemas.openxmlformats.org/spreadsheetml/2006/main" count="696" uniqueCount="310">
  <si>
    <t xml:space="preserve">ITEM</t>
  </si>
  <si>
    <t xml:space="preserve">CÓDIGO</t>
  </si>
  <si>
    <t xml:space="preserve">CATEGORÍA</t>
  </si>
  <si>
    <t xml:space="preserve">DESCRIPCIÓN DEL PRODUCTO</t>
  </si>
  <si>
    <t xml:space="preserve">PVP (miles COP)</t>
  </si>
  <si>
    <t xml:space="preserve">PVP COP</t>
  </si>
  <si>
    <t xml:space="preserve">PVP USD</t>
  </si>
  <si>
    <t xml:space="preserve">PREMIUM (PR)</t>
  </si>
  <si>
    <t xml:space="preserve">ESTADO</t>
  </si>
  <si>
    <t xml:space="preserve">CO4606</t>
  </si>
  <si>
    <t xml:space="preserve">Cocina (Cookware)</t>
  </si>
  <si>
    <t xml:space="preserve">SISTEMA DE COCINA ESENCIAL 5 PIEZAS RP CON RECETARIO Y ROYAL SHINE</t>
  </si>
  <si>
    <t xml:space="preserve">No</t>
  </si>
  <si>
    <t xml:space="preserve">Activo</t>
  </si>
  <si>
    <t xml:space="preserve">CO4616</t>
  </si>
  <si>
    <t xml:space="preserve">SISTEMA DE COCINA COMPLEMENTARIO 5 PIEZAS RP CON RECETARIO Y ROYAL SHINE</t>
  </si>
  <si>
    <t xml:space="preserve">CO4626</t>
  </si>
  <si>
    <t xml:space="preserve">SISTEMA DE COCINA CLÁSICO 7 PIEZAS RP CON RECETARIO Y ROYAL SHINE</t>
  </si>
  <si>
    <t xml:space="preserve">CO4636</t>
  </si>
  <si>
    <t xml:space="preserve">SISTEMA DE COCINA ESPECIAL 8 PIEZAS RP CON RECETARIO Y ROYAL SHINE</t>
  </si>
  <si>
    <t xml:space="preserve">CO4646</t>
  </si>
  <si>
    <t xml:space="preserve">SISTEMA DE COCINA FAMILIAR 10 PIEZAS RP CON RECETARIO Y ROYAL SHINE</t>
  </si>
  <si>
    <t xml:space="preserve">CO4656</t>
  </si>
  <si>
    <t xml:space="preserve">SISTEMA DE COCINA PROFESIONAL 15 PIEZAS RP CON RECETARIO Y ROYAL SHINE</t>
  </si>
  <si>
    <t xml:space="preserve">—</t>
  </si>
  <si>
    <t xml:space="preserve">CO4911</t>
  </si>
  <si>
    <t xml:space="preserve">ROYAL PRESTIGE MULTIPAN</t>
  </si>
  <si>
    <t xml:space="preserve">1+15</t>
  </si>
  <si>
    <t xml:space="preserve">Combo Cocina</t>
  </si>
  <si>
    <t xml:space="preserve">COMBO IDEAL 7 PIEZAS (ESENCIAL + PAELLERA CON TAPA DE 10"/26 CM)</t>
  </si>
  <si>
    <t xml:space="preserve">2+15</t>
  </si>
  <si>
    <t xml:space="preserve">COMBO UTILITARIO 7 PIEZAS (COMPLEMENTARIO + PAELLERA CON TAPA DE 10"/26 CM)</t>
  </si>
  <si>
    <t xml:space="preserve">15+23+28</t>
  </si>
  <si>
    <t xml:space="preserve">COMBO SÉNIOR 4 PIEZAS (PAELLERA CON TAPA DE 10" + OLLA 2 CUARTOS + TAPA 16 CM)</t>
  </si>
  <si>
    <t xml:space="preserve">CO4715</t>
  </si>
  <si>
    <t xml:space="preserve">UTENSILIO CON TAPA DE 4 CUARTOS RP</t>
  </si>
  <si>
    <t xml:space="preserve">CO4725</t>
  </si>
  <si>
    <t xml:space="preserve">UTENSILIO CON TAPA DE 8 CUARTOS RP</t>
  </si>
  <si>
    <t xml:space="preserve">CO9660</t>
  </si>
  <si>
    <t xml:space="preserve">UTENSILIO CON TAPA DE 12 CUARTOS</t>
  </si>
  <si>
    <t xml:space="preserve">CO9675</t>
  </si>
  <si>
    <t xml:space="preserve">UTENSILIO CON TAPA DE 20 CUARTOS</t>
  </si>
  <si>
    <t xml:space="preserve">CO9680</t>
  </si>
  <si>
    <t xml:space="preserve">UTENSILIO CON TAPA DE 30 CUARTOS</t>
  </si>
  <si>
    <t xml:space="preserve">CO4760</t>
  </si>
  <si>
    <t xml:space="preserve">PAELLERA CON TAPA DE 10" / 25 CM. RP</t>
  </si>
  <si>
    <t xml:space="preserve">CO4740</t>
  </si>
  <si>
    <t xml:space="preserve">PAELLERA CON TAPA DE 14" / 35 CM. RP</t>
  </si>
  <si>
    <t xml:space="preserve">CO1253</t>
  </si>
  <si>
    <t xml:space="preserve">OLLA A PRESIÓN DE 6 LITROS RP CON RECETARIO</t>
  </si>
  <si>
    <t xml:space="preserve">CO1258</t>
  </si>
  <si>
    <t xml:space="preserve">OLLA A PRESIÓN DE 10 LITROS RP CON RECETARIO</t>
  </si>
  <si>
    <t xml:space="preserve">CO6589</t>
  </si>
  <si>
    <t xml:space="preserve">PAVERA OVALADA</t>
  </si>
  <si>
    <t xml:space="preserve">CO0902</t>
  </si>
  <si>
    <t xml:space="preserve">ROYAL PRESTIGE EXPERTEA</t>
  </si>
  <si>
    <t xml:space="preserve">CO2106</t>
  </si>
  <si>
    <t xml:space="preserve">ROYAL PRESTIGE BARISTA</t>
  </si>
  <si>
    <t xml:space="preserve">PR2134</t>
  </si>
  <si>
    <t xml:space="preserve">Premium (Accesorios)</t>
  </si>
  <si>
    <t xml:space="preserve">KIT COMPLETO BARISTART</t>
  </si>
  <si>
    <t xml:space="preserve">Sí</t>
  </si>
  <si>
    <t xml:space="preserve">CO4705</t>
  </si>
  <si>
    <t xml:space="preserve">UTENSILIO SIN TAPA DE 2 CUARTOS/16 CM RP</t>
  </si>
  <si>
    <t xml:space="preserve">CO4710</t>
  </si>
  <si>
    <t xml:space="preserve">UTENSILIO SIN TAPA DE 3 CUARTOS/20 CM RP</t>
  </si>
  <si>
    <t xml:space="preserve">CO4720</t>
  </si>
  <si>
    <t xml:space="preserve">UTENSILIO SIN TAPA DE 6 CUARTOS/26 CM RP</t>
  </si>
  <si>
    <t xml:space="preserve">CO4730</t>
  </si>
  <si>
    <t xml:space="preserve">SARTÉN SIN TAPA DE 8" / 20 CM. RP</t>
  </si>
  <si>
    <t xml:space="preserve">CO4735</t>
  </si>
  <si>
    <t xml:space="preserve">SARTÉN SIN TAPA DE 10,5" / 26 CM. RP</t>
  </si>
  <si>
    <t xml:space="preserve">CO4800</t>
  </si>
  <si>
    <t xml:space="preserve">TAPA PEQUEÑA 16 CM RP</t>
  </si>
  <si>
    <t xml:space="preserve">CO4801</t>
  </si>
  <si>
    <t xml:space="preserve">TAPA MEDIANA 20 CM RP</t>
  </si>
  <si>
    <t xml:space="preserve">CO4802</t>
  </si>
  <si>
    <t xml:space="preserve">TAPA GRANDE 26 CM RP</t>
  </si>
  <si>
    <t xml:space="preserve">CO4803</t>
  </si>
  <si>
    <t xml:space="preserve">TAPA ALTA 26 CM CON BASE DE COCCIÓN RP</t>
  </si>
  <si>
    <t xml:space="preserve">CO4804</t>
  </si>
  <si>
    <t xml:space="preserve">TAPA GOURMET 8"/20 CM RP</t>
  </si>
  <si>
    <t xml:space="preserve">CO4805</t>
  </si>
  <si>
    <t xml:space="preserve">TAPA GOURMET 10"/24 CM RP</t>
  </si>
  <si>
    <t xml:space="preserve">CO4810</t>
  </si>
  <si>
    <t xml:space="preserve">TAPA EXTRA GRANDE 35 CM RP</t>
  </si>
  <si>
    <t xml:space="preserve">CO9723</t>
  </si>
  <si>
    <t xml:space="preserve">TAPA EASY RELEASE VIDRIO 8"</t>
  </si>
  <si>
    <t xml:space="preserve">Sin precio</t>
  </si>
  <si>
    <t xml:space="preserve">CO9724</t>
  </si>
  <si>
    <t xml:space="preserve">TAPA EASY RELEASE VIDRIO 10"</t>
  </si>
  <si>
    <t xml:space="preserve">CO9725</t>
  </si>
  <si>
    <t xml:space="preserve">TAPA EASY RELEASE VIDRIO 12"</t>
  </si>
  <si>
    <t xml:space="preserve">CO4650</t>
  </si>
  <si>
    <t xml:space="preserve">JUEGO DE SARTENES GOURMET 8"-10" CON TAPA 4 PIEZAS RP</t>
  </si>
  <si>
    <t xml:space="preserve">CO4746</t>
  </si>
  <si>
    <t xml:space="preserve">SARTÉN GOURMET SIN TAPA DE 8" / 20 CM.</t>
  </si>
  <si>
    <t xml:space="preserve">CO4751</t>
  </si>
  <si>
    <t xml:space="preserve">SARTÉN GOURMET SIN TAPA DE 10" / 24 CM.</t>
  </si>
  <si>
    <t xml:space="preserve">CO4745</t>
  </si>
  <si>
    <t xml:space="preserve">SARTÉN GOURMET CON TAPA DE 8" / 20 CM. RP</t>
  </si>
  <si>
    <t xml:space="preserve">CO4750</t>
  </si>
  <si>
    <t xml:space="preserve">SARTÉN GOURMET CON TAPA DE 10" / 24 CM. RP</t>
  </si>
  <si>
    <t xml:space="preserve">CO9685</t>
  </si>
  <si>
    <t xml:space="preserve">PLANCHA DOBLE 18" X 10"</t>
  </si>
  <si>
    <t xml:space="preserve">CO9686</t>
  </si>
  <si>
    <t xml:space="preserve">PLANCHA REDONDA 12"</t>
  </si>
  <si>
    <t xml:space="preserve">CO9687</t>
  </si>
  <si>
    <t xml:space="preserve">PLANCHA CUADRADA 11" X 11"</t>
  </si>
  <si>
    <t xml:space="preserve">CO0101</t>
  </si>
  <si>
    <t xml:space="preserve">CHOCOLATERA RP</t>
  </si>
  <si>
    <t xml:space="preserve">CO9736</t>
  </si>
  <si>
    <t xml:space="preserve">SARTÉN EASY RELEASE PIEDRA 8" CON TAPA+JUEGO ACCESORIOS 3 PIEZAS</t>
  </si>
  <si>
    <t xml:space="preserve">CO9738</t>
  </si>
  <si>
    <t xml:space="preserve">SARTÉN EASY RELEASE PIEDRA 10" CON TAPA+JUEGO ACCESORIOS 3 PIEZAS</t>
  </si>
  <si>
    <t xml:space="preserve">CO9739</t>
  </si>
  <si>
    <t xml:space="preserve">SARTÉN EASY RELEASE PIEDRA 12" CON TAPA+JUEGO ACCESORIOS 3 PIEZAS</t>
  </si>
  <si>
    <t xml:space="preserve">CO9740</t>
  </si>
  <si>
    <t xml:space="preserve">JUEGO SARTÉN EASY RELEASE PIEDRA 8"+10"+12"+TAPAS 6 PIEZAS+ACCESORIOS 3 PIEZAS</t>
  </si>
  <si>
    <t xml:space="preserve">CO9777</t>
  </si>
  <si>
    <t xml:space="preserve">OLLA EASY RELEASE CON TAPA 2 CUARTOS+JUEGO ACCESORIOS 3 PIEZAS</t>
  </si>
  <si>
    <t xml:space="preserve">CO9778</t>
  </si>
  <si>
    <t xml:space="preserve">OLLA EASY RELEASE CON TAPA 3 CUARTOS+JUEGO ACCESORIOS 3 PIEZAS</t>
  </si>
  <si>
    <t xml:space="preserve">CO9779</t>
  </si>
  <si>
    <t xml:space="preserve">SARTÉN EASY RELEASE CON TAPA 10,5 +JUEGO ACCESORIOS 3 PIEZAS</t>
  </si>
  <si>
    <t xml:space="preserve">CO9780</t>
  </si>
  <si>
    <t xml:space="preserve">JUEGO DE OLLAS Y SARTÉN EASY RELEASE+TAPAS VIDRIO 6 PIEZAS+ACCESORIOS 3 PIEZAS</t>
  </si>
  <si>
    <t xml:space="preserve">CO4807</t>
  </si>
  <si>
    <t xml:space="preserve">COLADOR DE 3 CUARTOS 20 CM.</t>
  </si>
  <si>
    <t xml:space="preserve">CO4808</t>
  </si>
  <si>
    <t xml:space="preserve">COLADOR DE 6 CUARTOS 26 CM.</t>
  </si>
  <si>
    <t xml:space="preserve">PR0008</t>
  </si>
  <si>
    <t xml:space="preserve">TABLA DE BAMBÚ CON BORDE SILICONA GRANDE</t>
  </si>
  <si>
    <t xml:space="preserve">PR0021</t>
  </si>
  <si>
    <t xml:space="preserve">TABLA DE BAMBÚ CON BORDE SILICONA PEQUEÑA</t>
  </si>
  <si>
    <t xml:space="preserve">PR2120</t>
  </si>
  <si>
    <t xml:space="preserve">CAFETERA ROYAL ESPRESSO PEQUEÑA 8 ONZAS - 4 TAZAS</t>
  </si>
  <si>
    <t xml:space="preserve">PR2129</t>
  </si>
  <si>
    <t xml:space="preserve">CAFETERA ROYAL ESPRESSO GRANDE 24 ONZAS - 10 TAZAS DOBLE PARED</t>
  </si>
  <si>
    <t xml:space="preserve">PR0196</t>
  </si>
  <si>
    <t xml:space="preserve">JUEGO DE UTENSILIOS DE COCINA 6 PIEZAS</t>
  </si>
  <si>
    <t xml:space="preserve">PR1044</t>
  </si>
  <si>
    <t xml:space="preserve">JUEGO 4 TAZONES PARA MEZCLAR CON TAPA BASE SILICONA</t>
  </si>
  <si>
    <t xml:space="preserve">PR2124</t>
  </si>
  <si>
    <t xml:space="preserve">CACEROLA PARA LOS HUEVOS</t>
  </si>
  <si>
    <t xml:space="preserve">PR2614</t>
  </si>
  <si>
    <t xml:space="preserve">MÁQUINA DE ENSALADAS ROYAL PRESTIGE - SALAD MACHINE</t>
  </si>
  <si>
    <t xml:space="preserve">PR1675</t>
  </si>
  <si>
    <t xml:space="preserve">HERVIDOR PEQUEÑO 1/2 CUARTO</t>
  </si>
  <si>
    <t xml:space="preserve">PR1685</t>
  </si>
  <si>
    <t xml:space="preserve">HERVIDOR GRANDE 1 CUARTO</t>
  </si>
  <si>
    <t xml:space="preserve">PR0025</t>
  </si>
  <si>
    <t xml:space="preserve">ROYAL PRESTIGE PERFECT POP</t>
  </si>
  <si>
    <t xml:space="preserve">CU0056</t>
  </si>
  <si>
    <t xml:space="preserve">Cuchillería (Cutlery)</t>
  </si>
  <si>
    <t xml:space="preserve">BLOQUE PARA 17 CUCHILLOS</t>
  </si>
  <si>
    <t xml:space="preserve">CU0800</t>
  </si>
  <si>
    <t xml:space="preserve">JUEGO CUCHILLOS PRECISIÓN 5 PIEZAS</t>
  </si>
  <si>
    <t xml:space="preserve">CU0815</t>
  </si>
  <si>
    <t xml:space="preserve">JUEGO CUCHILLOS PARA REBANAR 4 PIEZAS</t>
  </si>
  <si>
    <t xml:space="preserve">CU0820</t>
  </si>
  <si>
    <t xml:space="preserve">JUEGO CUCHILLOS PARA CARNE 4 PIEZAS</t>
  </si>
  <si>
    <t xml:space="preserve">CU0831</t>
  </si>
  <si>
    <t xml:space="preserve">JUEGO CUCHILLOS COMPLETO 18 PIEZAS CON BLOQUE ALL IN ONE - CUTLERY</t>
  </si>
  <si>
    <t xml:space="preserve">CU0825</t>
  </si>
  <si>
    <t xml:space="preserve">HACHA DE COCINA</t>
  </si>
  <si>
    <t xml:space="preserve">CU0810</t>
  </si>
  <si>
    <t xml:space="preserve">RP CUCHILLO PARA PELAR 2.75"</t>
  </si>
  <si>
    <t xml:space="preserve">CU0814</t>
  </si>
  <si>
    <t xml:space="preserve">RP CUCHILLO MULTIUSOS 5"</t>
  </si>
  <si>
    <t xml:space="preserve">CU0148</t>
  </si>
  <si>
    <t xml:space="preserve">CUCHILLO DAMASCUS SANTOKU 5"</t>
  </si>
  <si>
    <t xml:space="preserve">CU0740</t>
  </si>
  <si>
    <t xml:space="preserve">JUEGO CUCHILLOS PARA CHURRASCO 4 PIEZAS</t>
  </si>
  <si>
    <t xml:space="preserve">PR1841</t>
  </si>
  <si>
    <t xml:space="preserve">AFILADOR DE CUCHILLOS</t>
  </si>
  <si>
    <t xml:space="preserve">JU0038</t>
  </si>
  <si>
    <t xml:space="preserve">Extractor de Jugos</t>
  </si>
  <si>
    <t xml:space="preserve">EXTRACTOR DE JUGOS RP CON RECETARIO - JUICER</t>
  </si>
  <si>
    <t xml:space="preserve">PR1459</t>
  </si>
  <si>
    <t xml:space="preserve">EXPRIMIDOR DE JUGOS RP</t>
  </si>
  <si>
    <t xml:space="preserve">PR1460</t>
  </si>
  <si>
    <t xml:space="preserve">EXTRACTOR DE JUGOS PAQUETE DE 3 COLADORES RP</t>
  </si>
  <si>
    <t xml:space="preserve">ES0133</t>
  </si>
  <si>
    <t xml:space="preserve">Electrodomésticos</t>
  </si>
  <si>
    <t xml:space="preserve">ESTUFA DE INDUCCIÓN RP - PRECISION COOK</t>
  </si>
  <si>
    <t xml:space="preserve">ES4200</t>
  </si>
  <si>
    <t xml:space="preserve">RP POWER BLENDER GO PLUS TIPO A (CON BATIDOR Y CEPILLO)</t>
  </si>
  <si>
    <t xml:space="preserve">PE0028</t>
  </si>
  <si>
    <t xml:space="preserve">Repuestos Blender</t>
  </si>
  <si>
    <t xml:space="preserve">CONJUNTO PICADOR Y TASA BLENDER GO</t>
  </si>
  <si>
    <t xml:space="preserve">ES0162</t>
  </si>
  <si>
    <t xml:space="preserve">RP POWER BLENDER MAX 120-127V</t>
  </si>
  <si>
    <t xml:space="preserve">PE0010</t>
  </si>
  <si>
    <t xml:space="preserve">JARRA TRITAN COMPLETA POWER BLENDER MAX</t>
  </si>
  <si>
    <t xml:space="preserve">PE0011</t>
  </si>
  <si>
    <t xml:space="preserve">RP MAX CUP (2) CON ASPAS</t>
  </si>
  <si>
    <t xml:space="preserve">PE0027</t>
  </si>
  <si>
    <t xml:space="preserve">RP FRESH MAX CO</t>
  </si>
  <si>
    <t xml:space="preserve">AP2004</t>
  </si>
  <si>
    <t xml:space="preserve">Filtros de Aire</t>
  </si>
  <si>
    <t xml:space="preserve">RP FILTRO AIRE PAQ REEMPLAZO EARTH+</t>
  </si>
  <si>
    <t xml:space="preserve">WF0417</t>
  </si>
  <si>
    <t xml:space="preserve">Filtración de Agua</t>
  </si>
  <si>
    <t xml:space="preserve">SISTEMA DE FILTRACIÓN DE AGUA - FRESCAPURE 3500</t>
  </si>
  <si>
    <t xml:space="preserve">WF0451</t>
  </si>
  <si>
    <t xml:space="preserve">FRESCAPURE CARTUCHO REEMPLAZO 3500</t>
  </si>
  <si>
    <t xml:space="preserve">WF0545</t>
  </si>
  <si>
    <t xml:space="preserve">FRESCAPURE CARTUCHO REEMPLAZO 3500 + BATERÍA</t>
  </si>
  <si>
    <t xml:space="preserve">WF1210</t>
  </si>
  <si>
    <t xml:space="preserve">FRESCAFLOW 100 – 240B Y MINERALIZADOR RP</t>
  </si>
  <si>
    <t xml:space="preserve">PR2012</t>
  </si>
  <si>
    <t xml:space="preserve">FRESCAFLOW PREFILTRO X2 UNIDADES</t>
  </si>
  <si>
    <t xml:space="preserve">PR2013</t>
  </si>
  <si>
    <t xml:space="preserve">FRESCAFLOW FILTRO OSMOSIS INVERSA</t>
  </si>
  <si>
    <t xml:space="preserve">PR2014</t>
  </si>
  <si>
    <t xml:space="preserve">FRESCAFLOW CARTUCHO – MINERALIZADOR Y FILTRO CARBONO</t>
  </si>
  <si>
    <t xml:space="preserve">PR0709</t>
  </si>
  <si>
    <t xml:space="preserve">JUEGO CUBIERTOS AMERICANA 24 PIEZAS</t>
  </si>
  <si>
    <t xml:space="preserve">SP0081</t>
  </si>
  <si>
    <t xml:space="preserve">Servir / Accesorios Pequeños</t>
  </si>
  <si>
    <t xml:space="preserve">JUEGO DE SERVIR DE LUXE 3 PIEZAS</t>
  </si>
  <si>
    <t xml:space="preserve">SP0091</t>
  </si>
  <si>
    <t xml:space="preserve">JUEGO DE SERVIR DE LUXE 3 PIEZAS COMPLEMENTARIO</t>
  </si>
  <si>
    <t xml:space="preserve">SP0061</t>
  </si>
  <si>
    <t xml:space="preserve">JUEGO DE SERVIR FIESTA 6 PIEZAS</t>
  </si>
  <si>
    <t xml:space="preserve">SP0068</t>
  </si>
  <si>
    <t xml:space="preserve">TAZÓN DE 5 CUARTOS DE PARED DOBLE CON TAPA</t>
  </si>
  <si>
    <t xml:space="preserve">SP0066</t>
  </si>
  <si>
    <t xml:space="preserve">TAZÓN PARA MEZCLAR 10 CUARTOS BASE SILICONA</t>
  </si>
  <si>
    <t xml:space="preserve">SP0111</t>
  </si>
  <si>
    <t xml:space="preserve">RECIPIENTES ROYALWARE DE 6 PIEZAS - CAPACIDAD 2 TAZAS</t>
  </si>
  <si>
    <t xml:space="preserve">SP0113</t>
  </si>
  <si>
    <t xml:space="preserve">RECIPIENTES ROYALWARE DE 8 PIEZAS</t>
  </si>
  <si>
    <t xml:space="preserve">SP0135</t>
  </si>
  <si>
    <t xml:space="preserve">JUEGO DE 4 TAZAS DE PARED DOBLE</t>
  </si>
  <si>
    <t xml:space="preserve">SP0145</t>
  </si>
  <si>
    <t xml:space="preserve">RECIPIENTE PARA UTENSILIOS DE COCINA</t>
  </si>
  <si>
    <t xml:space="preserve">SP0261</t>
  </si>
  <si>
    <t xml:space="preserve">JUEGO DE AZUCARERA Y JARRA PARA LECHE 2 PIEZAS</t>
  </si>
  <si>
    <t xml:space="preserve">SP0252</t>
  </si>
  <si>
    <t xml:space="preserve">JUEGO DE 2 RECIPIENTES PARA HELADO PARED DOBLE</t>
  </si>
  <si>
    <t xml:space="preserve">SP0254</t>
  </si>
  <si>
    <t xml:space="preserve">JUEGO DE 4 RECIPIENTES PARA HELADO</t>
  </si>
  <si>
    <t xml:space="preserve">SP0305</t>
  </si>
  <si>
    <t xml:space="preserve">BASE MAGNÉTICA PARA OLLAS</t>
  </si>
  <si>
    <t xml:space="preserve">SP0297</t>
  </si>
  <si>
    <t xml:space="preserve">CUCHILLO SANTOKU 3,5" / 7 CM.</t>
  </si>
  <si>
    <t xml:space="preserve">SP0296</t>
  </si>
  <si>
    <t xml:space="preserve">CUCHILLO SANTOKU 5" / 12 CM.</t>
  </si>
  <si>
    <t xml:space="preserve">SP0196</t>
  </si>
  <si>
    <t xml:space="preserve">CUCHILLO SANTOKU DE 5"- PS III</t>
  </si>
  <si>
    <t xml:space="preserve">SP0262</t>
  </si>
  <si>
    <t xml:space="preserve">JUEGO DE 2 TAZONES MEZCLAR BASE SILICONA CON TAPA</t>
  </si>
  <si>
    <t xml:space="preserve">SP1850</t>
  </si>
  <si>
    <t xml:space="preserve">DESTAPADOR</t>
  </si>
  <si>
    <t xml:space="preserve">SP1851</t>
  </si>
  <si>
    <t xml:space="preserve">RALLADOR</t>
  </si>
  <si>
    <t xml:space="preserve">SP1852</t>
  </si>
  <si>
    <t xml:space="preserve">ESPÁTULA</t>
  </si>
  <si>
    <t xml:space="preserve">SP1853</t>
  </si>
  <si>
    <t xml:space="preserve">BATIDOR DE GLOBO</t>
  </si>
  <si>
    <t xml:space="preserve">SP1854</t>
  </si>
  <si>
    <t xml:space="preserve">PELADOR</t>
  </si>
  <si>
    <t xml:space="preserve">SP1856</t>
  </si>
  <si>
    <t xml:space="preserve">CORTA PIZZA</t>
  </si>
  <si>
    <t xml:space="preserve">SP1857</t>
  </si>
  <si>
    <t xml:space="preserve">MACHACADOR REDONDO CON ORIFICIOS</t>
  </si>
  <si>
    <t xml:space="preserve">SP1859</t>
  </si>
  <si>
    <t xml:space="preserve">ESPÁTULA PARA HELADOS PRECISIÓN SERIES</t>
  </si>
  <si>
    <t xml:space="preserve">SP1860</t>
  </si>
  <si>
    <t xml:space="preserve">PELADOR VERTICAL PRECISIÓN SERIES</t>
  </si>
  <si>
    <t xml:space="preserve">SP1861</t>
  </si>
  <si>
    <t xml:space="preserve">JUEGO DE 2 ESPÁTULAS DE SILICONA PS</t>
  </si>
  <si>
    <t xml:space="preserve">SP0098</t>
  </si>
  <si>
    <t xml:space="preserve">JUEGO ACCESORIOS 3 PIEZAS EASY RELEASE DE SILICONA</t>
  </si>
  <si>
    <t xml:space="preserve">SP5050</t>
  </si>
  <si>
    <t xml:space="preserve">ROYAL SHINE</t>
  </si>
  <si>
    <t xml:space="preserve">SP2551</t>
  </si>
  <si>
    <t xml:space="preserve">ROYAL PRESTIGE SMART TEMP</t>
  </si>
  <si>
    <t xml:space="preserve">TOTAL ÍTEMS:</t>
  </si>
  <si>
    <t xml:space="preserve">SUMA PVP (COP):</t>
  </si>
  <si>
    <t xml:space="preserve">SUMA PVP (USD):</t>
  </si>
  <si>
    <t xml:space="preserve">REGLAS COMERCIALES — PVP 2025.01.01</t>
  </si>
  <si>
    <t xml:space="preserve">Concepto</t>
  </si>
  <si>
    <t xml:space="preserve">Valor</t>
  </si>
  <si>
    <t xml:space="preserve">Unidad PVP en lista</t>
  </si>
  <si>
    <t xml:space="preserve">Miles de pesos colombianos (COP)</t>
  </si>
  <si>
    <t xml:space="preserve">TRM de la lista (COP/USD)</t>
  </si>
  <si>
    <t xml:space="preserve">Descuento máx. en ventas de contado</t>
  </si>
  <si>
    <t xml:space="preserve">Bono máx. en ventas &gt; $3.000.000 COP</t>
  </si>
  <si>
    <t xml:space="preserve">Bono máx. en ventas ≤ $3.000.000 COP</t>
  </si>
  <si>
    <t xml:space="preserve">Umbral de venta para activar bono</t>
  </si>
  <si>
    <t xml:space="preserve">Productos recomendados para bono</t>
  </si>
  <si>
    <t xml:space="preserve">PREMIUMS (prefijo PR)</t>
  </si>
  <si>
    <t xml:space="preserve">Fecha de vigencia</t>
  </si>
  <si>
    <t xml:space="preserve">2025-01-01</t>
  </si>
  <si>
    <t xml:space="preserve">NOTAS DEL DOCUMENTO ORIGINAL</t>
  </si>
  <si>
    <t xml:space="preserve">1. La columna P.V.P. está en miles de pesos.</t>
  </si>
  <si>
    <t xml:space="preserve">2. Las ventas de contado podrán tener un descuento máximo del 5%.</t>
  </si>
  <si>
    <t xml:space="preserve">3. Las ventas por valor superior a $3.000.000 podrán tener un bono máximo del 20% en productos de Royal Prestige.</t>
  </si>
  <si>
    <t xml:space="preserve">4. Las ventas por valor inferior a $3.000.000 podrán tener un bono máximo del 0% en productos de Royal Prestige.</t>
  </si>
  <si>
    <t xml:space="preserve">5. Los productos recomendados para el bono de negociación son los PREMIUMS (PR).</t>
  </si>
  <si>
    <t xml:space="preserve">RESUMEN POR CATEGORÍA</t>
  </si>
  <si>
    <t xml:space="preserve">Categoría</t>
  </si>
  <si>
    <t xml:space="preserve"># Productos</t>
  </si>
  <si>
    <t xml:space="preserve">PVP Mínimo (COP)</t>
  </si>
  <si>
    <t xml:space="preserve">PVP Máximo (COP)</t>
  </si>
  <si>
    <t xml:space="preserve">PVP Promedio (COP)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</si>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</sst>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&quot; COP&quot;"/>
    <numFmt numFmtId="167" formatCode="&quot;US$&quot;#,##0.00"/>
    <numFmt numFmtId="168" formatCode="#,##0.00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3" t="s">
        <v>10</v>
      </c>
      <c r="D2" s="3" t="s">
        <v>11</v>
      </c>
      <c r="E2" s="4" t="n">
        <v>6490</v>
      </c>
      <c r="F2" s="5" t="n">
        <f aca="false">E2*1000</f>
        <v>6490000</v>
      </c>
      <c r="G2" s="6" t="n">
        <f aca="false">IFERROR(F2/'Reglas Comerciales'!$B$5,0)</f>
        <v>1471.93903586859</v>
      </c>
      <c r="H2" s="2" t="s">
        <v>12</v>
      </c>
      <c r="I2" s="2" t="s">
        <v>13</v>
      </c>
    </row>
    <row r="3" customFormat="false" ht="15" hidden="false" customHeight="false" outlineLevel="0" collapsed="false">
      <c r="A3" s="7" t="n">
        <v>2</v>
      </c>
      <c r="B3" s="7" t="s">
        <v>14</v>
      </c>
      <c r="C3" s="8" t="s">
        <v>10</v>
      </c>
      <c r="D3" s="8" t="s">
        <v>15</v>
      </c>
      <c r="E3" s="9" t="n">
        <v>7990</v>
      </c>
      <c r="F3" s="10" t="n">
        <f aca="false">E3*1000</f>
        <v>7990000</v>
      </c>
      <c r="G3" s="11" t="n">
        <f aca="false">IFERROR(F3/'Reglas Comerciales'!$B$5,0)</f>
        <v>1812.14066203236</v>
      </c>
      <c r="H3" s="7" t="s">
        <v>12</v>
      </c>
      <c r="I3" s="7" t="s">
        <v>13</v>
      </c>
    </row>
    <row r="4" customFormat="false" ht="15" hidden="false" customHeight="false" outlineLevel="0" collapsed="false">
      <c r="A4" s="2" t="n">
        <v>3</v>
      </c>
      <c r="B4" s="2" t="s">
        <v>16</v>
      </c>
      <c r="C4" s="3" t="s">
        <v>10</v>
      </c>
      <c r="D4" s="3" t="s">
        <v>17</v>
      </c>
      <c r="E4" s="4" t="n">
        <v>9790</v>
      </c>
      <c r="F4" s="5" t="n">
        <f aca="false">E4*1000</f>
        <v>9790000</v>
      </c>
      <c r="G4" s="6" t="n">
        <f aca="false">IFERROR(F4/'Reglas Comerciales'!$B$5,0)</f>
        <v>2220.38261342889</v>
      </c>
      <c r="H4" s="2" t="s">
        <v>12</v>
      </c>
      <c r="I4" s="2" t="s">
        <v>13</v>
      </c>
    </row>
    <row r="5" customFormat="false" ht="15" hidden="false" customHeight="false" outlineLevel="0" collapsed="false">
      <c r="A5" s="7" t="n">
        <v>4</v>
      </c>
      <c r="B5" s="7" t="s">
        <v>18</v>
      </c>
      <c r="C5" s="8" t="s">
        <v>10</v>
      </c>
      <c r="D5" s="8" t="s">
        <v>19</v>
      </c>
      <c r="E5" s="9" t="n">
        <v>12690</v>
      </c>
      <c r="F5" s="10" t="n">
        <f aca="false">E5*1000</f>
        <v>12690000</v>
      </c>
      <c r="G5" s="11" t="n">
        <f aca="false">IFERROR(F5/'Reglas Comerciales'!$B$5,0)</f>
        <v>2878.10575734552</v>
      </c>
      <c r="H5" s="7" t="s">
        <v>12</v>
      </c>
      <c r="I5" s="7" t="s">
        <v>13</v>
      </c>
    </row>
    <row r="6" customFormat="false" ht="15" hidden="false" customHeight="false" outlineLevel="0" collapsed="false">
      <c r="A6" s="2" t="n">
        <v>5</v>
      </c>
      <c r="B6" s="2" t="s">
        <v>20</v>
      </c>
      <c r="C6" s="3" t="s">
        <v>10</v>
      </c>
      <c r="D6" s="3" t="s">
        <v>21</v>
      </c>
      <c r="E6" s="4" t="n">
        <v>14990</v>
      </c>
      <c r="F6" s="5" t="n">
        <f aca="false">E6*1000</f>
        <v>14990000</v>
      </c>
      <c r="G6" s="6" t="n">
        <f aca="false">IFERROR(F6/'Reglas Comerciales'!$B$5,0)</f>
        <v>3399.74825079664</v>
      </c>
      <c r="H6" s="2" t="s">
        <v>12</v>
      </c>
      <c r="I6" s="2" t="s">
        <v>13</v>
      </c>
    </row>
    <row r="7" customFormat="false" ht="15" hidden="false" customHeight="false" outlineLevel="0" collapsed="false">
      <c r="A7" s="7" t="n">
        <v>6</v>
      </c>
      <c r="B7" s="7" t="s">
        <v>22</v>
      </c>
      <c r="C7" s="8" t="s">
        <v>10</v>
      </c>
      <c r="D7" s="8" t="s">
        <v>23</v>
      </c>
      <c r="E7" s="9" t="n">
        <v>21990</v>
      </c>
      <c r="F7" s="10" t="n">
        <f aca="false">E7*1000</f>
        <v>21990000</v>
      </c>
      <c r="G7" s="11" t="n">
        <f aca="false">IFERROR(F7/'Reglas Comerciales'!$B$5,0)</f>
        <v>4987.35583956091</v>
      </c>
      <c r="H7" s="7" t="s">
        <v>12</v>
      </c>
      <c r="I7" s="7" t="s">
        <v>13</v>
      </c>
    </row>
    <row r="8" customFormat="false" ht="15" hidden="false" customHeight="false" outlineLevel="0" collapsed="false">
      <c r="A8" s="2" t="s">
        <v>24</v>
      </c>
      <c r="B8" s="2" t="s">
        <v>25</v>
      </c>
      <c r="C8" s="3" t="s">
        <v>10</v>
      </c>
      <c r="D8" s="3" t="s">
        <v>26</v>
      </c>
      <c r="E8" s="4" t="n">
        <v>4490</v>
      </c>
      <c r="F8" s="5" t="n">
        <f aca="false">E8*1000</f>
        <v>4490000</v>
      </c>
      <c r="G8" s="6" t="n">
        <f aca="false">IFERROR(F8/'Reglas Comerciales'!$B$5,0)</f>
        <v>1018.33686765023</v>
      </c>
      <c r="H8" s="2" t="s">
        <v>12</v>
      </c>
      <c r="I8" s="2" t="s">
        <v>13</v>
      </c>
    </row>
    <row r="9" customFormat="false" ht="15" hidden="false" customHeight="false" outlineLevel="0" collapsed="false">
      <c r="A9" s="7" t="n">
        <v>7</v>
      </c>
      <c r="B9" s="7" t="s">
        <v>27</v>
      </c>
      <c r="C9" s="8" t="s">
        <v>28</v>
      </c>
      <c r="D9" s="8" t="s">
        <v>29</v>
      </c>
      <c r="E9" s="9" t="n">
        <v>9290</v>
      </c>
      <c r="F9" s="10" t="n">
        <f aca="false">E9*1000</f>
        <v>9290000</v>
      </c>
      <c r="G9" s="11" t="n">
        <f aca="false">IFERROR(F9/'Reglas Comerciales'!$B$5,0)</f>
        <v>2106.9820713743</v>
      </c>
      <c r="H9" s="7" t="s">
        <v>12</v>
      </c>
      <c r="I9" s="7" t="s">
        <v>13</v>
      </c>
    </row>
    <row r="10" customFormat="false" ht="15" hidden="false" customHeight="false" outlineLevel="0" collapsed="false">
      <c r="A10" s="2" t="n">
        <v>8</v>
      </c>
      <c r="B10" s="2" t="s">
        <v>30</v>
      </c>
      <c r="C10" s="3" t="s">
        <v>28</v>
      </c>
      <c r="D10" s="3" t="s">
        <v>31</v>
      </c>
      <c r="E10" s="4" t="n">
        <v>10690</v>
      </c>
      <c r="F10" s="5" t="n">
        <f aca="false">E10*1000</f>
        <v>10690000</v>
      </c>
      <c r="G10" s="6" t="n">
        <f aca="false">IFERROR(F10/'Reglas Comerciales'!$B$5,0)</f>
        <v>2424.50358912716</v>
      </c>
      <c r="H10" s="2" t="s">
        <v>12</v>
      </c>
      <c r="I10" s="2" t="s">
        <v>13</v>
      </c>
    </row>
    <row r="11" customFormat="false" ht="15" hidden="false" customHeight="false" outlineLevel="0" collapsed="false">
      <c r="A11" s="7" t="n">
        <v>9</v>
      </c>
      <c r="B11" s="7" t="s">
        <v>32</v>
      </c>
      <c r="C11" s="8" t="s">
        <v>28</v>
      </c>
      <c r="D11" s="8" t="s">
        <v>33</v>
      </c>
      <c r="E11" s="9" t="n">
        <v>5590</v>
      </c>
      <c r="F11" s="10" t="n">
        <f aca="false">E11*1000</f>
        <v>5590000</v>
      </c>
      <c r="G11" s="11" t="n">
        <f aca="false">IFERROR(F11/'Reglas Comerciales'!$B$5,0)</f>
        <v>1267.81806017033</v>
      </c>
      <c r="H11" s="7" t="s">
        <v>12</v>
      </c>
      <c r="I11" s="7" t="s">
        <v>13</v>
      </c>
    </row>
    <row r="12" customFormat="false" ht="15" hidden="false" customHeight="false" outlineLevel="0" collapsed="false">
      <c r="A12" s="2" t="n">
        <v>10</v>
      </c>
      <c r="B12" s="2" t="s">
        <v>34</v>
      </c>
      <c r="C12" s="3" t="s">
        <v>10</v>
      </c>
      <c r="D12" s="3" t="s">
        <v>35</v>
      </c>
      <c r="E12" s="4" t="n">
        <v>2960</v>
      </c>
      <c r="F12" s="5" t="n">
        <f aca="false">E12*1000</f>
        <v>2960000</v>
      </c>
      <c r="G12" s="6" t="n">
        <f aca="false">IFERROR(F12/'Reglas Comerciales'!$B$5,0)</f>
        <v>671.331208963179</v>
      </c>
      <c r="H12" s="2" t="s">
        <v>12</v>
      </c>
      <c r="I12" s="2" t="s">
        <v>13</v>
      </c>
    </row>
    <row r="13" customFormat="false" ht="15" hidden="false" customHeight="false" outlineLevel="0" collapsed="false">
      <c r="A13" s="7" t="n">
        <v>11</v>
      </c>
      <c r="B13" s="7" t="s">
        <v>36</v>
      </c>
      <c r="C13" s="8" t="s">
        <v>10</v>
      </c>
      <c r="D13" s="8" t="s">
        <v>37</v>
      </c>
      <c r="E13" s="9" t="n">
        <v>3840</v>
      </c>
      <c r="F13" s="10" t="n">
        <f aca="false">E13*1000</f>
        <v>3840000</v>
      </c>
      <c r="G13" s="11" t="n">
        <f aca="false">IFERROR(F13/'Reglas Comerciales'!$B$5,0)</f>
        <v>870.916162979259</v>
      </c>
      <c r="H13" s="7" t="s">
        <v>12</v>
      </c>
      <c r="I13" s="7" t="s">
        <v>13</v>
      </c>
    </row>
    <row r="14" customFormat="false" ht="15" hidden="false" customHeight="false" outlineLevel="0" collapsed="false">
      <c r="A14" s="2" t="n">
        <v>12</v>
      </c>
      <c r="B14" s="2" t="s">
        <v>38</v>
      </c>
      <c r="C14" s="3" t="s">
        <v>10</v>
      </c>
      <c r="D14" s="3" t="s">
        <v>39</v>
      </c>
      <c r="E14" s="4" t="n">
        <v>4300</v>
      </c>
      <c r="F14" s="5" t="n">
        <f aca="false">E14*1000</f>
        <v>4300000</v>
      </c>
      <c r="G14" s="6" t="n">
        <f aca="false">IFERROR(F14/'Reglas Comerciales'!$B$5,0)</f>
        <v>975.244661669483</v>
      </c>
      <c r="H14" s="2" t="s">
        <v>12</v>
      </c>
      <c r="I14" s="2" t="s">
        <v>13</v>
      </c>
    </row>
    <row r="15" customFormat="false" ht="15" hidden="false" customHeight="false" outlineLevel="0" collapsed="false">
      <c r="A15" s="7" t="n">
        <v>13</v>
      </c>
      <c r="B15" s="7" t="s">
        <v>40</v>
      </c>
      <c r="C15" s="8" t="s">
        <v>10</v>
      </c>
      <c r="D15" s="8" t="s">
        <v>41</v>
      </c>
      <c r="E15" s="9" t="n">
        <v>5090</v>
      </c>
      <c r="F15" s="10" t="n">
        <f aca="false">E15*1000</f>
        <v>5090000</v>
      </c>
      <c r="G15" s="11" t="n">
        <f aca="false">IFERROR(F15/'Reglas Comerciales'!$B$5,0)</f>
        <v>1154.41751811574</v>
      </c>
      <c r="H15" s="7" t="s">
        <v>12</v>
      </c>
      <c r="I15" s="7" t="s">
        <v>13</v>
      </c>
    </row>
    <row r="16" customFormat="false" ht="15" hidden="false" customHeight="false" outlineLevel="0" collapsed="false">
      <c r="A16" s="2" t="n">
        <v>14</v>
      </c>
      <c r="B16" s="2" t="s">
        <v>42</v>
      </c>
      <c r="C16" s="3" t="s">
        <v>10</v>
      </c>
      <c r="D16" s="3" t="s">
        <v>43</v>
      </c>
      <c r="E16" s="4" t="n">
        <v>6010</v>
      </c>
      <c r="F16" s="5" t="n">
        <f aca="false">E16*1000</f>
        <v>6010000</v>
      </c>
      <c r="G16" s="6" t="n">
        <f aca="false">IFERROR(F16/'Reglas Comerciales'!$B$5,0)</f>
        <v>1363.07451549618</v>
      </c>
      <c r="H16" s="2" t="s">
        <v>12</v>
      </c>
      <c r="I16" s="2" t="s">
        <v>13</v>
      </c>
    </row>
    <row r="17" customFormat="false" ht="15" hidden="false" customHeight="false" outlineLevel="0" collapsed="false">
      <c r="A17" s="7" t="n">
        <v>15</v>
      </c>
      <c r="B17" s="7" t="s">
        <v>44</v>
      </c>
      <c r="C17" s="8" t="s">
        <v>10</v>
      </c>
      <c r="D17" s="8" t="s">
        <v>45</v>
      </c>
      <c r="E17" s="9" t="n">
        <v>2690</v>
      </c>
      <c r="F17" s="10" t="n">
        <f aca="false">E17*1000</f>
        <v>2690000</v>
      </c>
      <c r="G17" s="11" t="n">
        <f aca="false">IFERROR(F17/'Reglas Comerciales'!$B$5,0)</f>
        <v>610.0949162537</v>
      </c>
      <c r="H17" s="7" t="s">
        <v>12</v>
      </c>
      <c r="I17" s="7" t="s">
        <v>13</v>
      </c>
    </row>
    <row r="18" customFormat="false" ht="15" hidden="false" customHeight="false" outlineLevel="0" collapsed="false">
      <c r="A18" s="2" t="n">
        <v>16</v>
      </c>
      <c r="B18" s="2" t="s">
        <v>46</v>
      </c>
      <c r="C18" s="3" t="s">
        <v>10</v>
      </c>
      <c r="D18" s="3" t="s">
        <v>47</v>
      </c>
      <c r="E18" s="4" t="n">
        <v>4780</v>
      </c>
      <c r="F18" s="5" t="n">
        <f aca="false">E18*1000</f>
        <v>4780000</v>
      </c>
      <c r="G18" s="6" t="n">
        <f aca="false">IFERROR(F18/'Reglas Comerciales'!$B$5,0)</f>
        <v>1084.10918204189</v>
      </c>
      <c r="H18" s="2" t="s">
        <v>12</v>
      </c>
      <c r="I18" s="2" t="s">
        <v>13</v>
      </c>
    </row>
    <row r="19" customFormat="false" ht="15" hidden="false" customHeight="false" outlineLevel="0" collapsed="false">
      <c r="A19" s="7" t="n">
        <v>17</v>
      </c>
      <c r="B19" s="7" t="s">
        <v>48</v>
      </c>
      <c r="C19" s="8" t="s">
        <v>10</v>
      </c>
      <c r="D19" s="8" t="s">
        <v>49</v>
      </c>
      <c r="E19" s="9" t="n">
        <v>4890</v>
      </c>
      <c r="F19" s="10" t="n">
        <f aca="false">E19*1000</f>
        <v>4890000</v>
      </c>
      <c r="G19" s="11" t="n">
        <f aca="false">IFERROR(F19/'Reglas Comerciales'!$B$5,0)</f>
        <v>1109.0573012939</v>
      </c>
      <c r="H19" s="7" t="s">
        <v>12</v>
      </c>
      <c r="I19" s="7" t="s">
        <v>13</v>
      </c>
    </row>
    <row r="20" customFormat="false" ht="15" hidden="false" customHeight="false" outlineLevel="0" collapsed="false">
      <c r="A20" s="2" t="n">
        <v>18</v>
      </c>
      <c r="B20" s="2" t="s">
        <v>50</v>
      </c>
      <c r="C20" s="3" t="s">
        <v>10</v>
      </c>
      <c r="D20" s="3" t="s">
        <v>51</v>
      </c>
      <c r="E20" s="4" t="n">
        <v>5690</v>
      </c>
      <c r="F20" s="5" t="n">
        <f aca="false">E20*1000</f>
        <v>5690000</v>
      </c>
      <c r="G20" s="6" t="n">
        <f aca="false">IFERROR(F20/'Reglas Comerciales'!$B$5,0)</f>
        <v>1290.49816858125</v>
      </c>
      <c r="H20" s="2" t="s">
        <v>12</v>
      </c>
      <c r="I20" s="2" t="s">
        <v>13</v>
      </c>
    </row>
    <row r="21" customFormat="false" ht="15" hidden="false" customHeight="false" outlineLevel="0" collapsed="false">
      <c r="A21" s="7" t="n">
        <v>19</v>
      </c>
      <c r="B21" s="7" t="s">
        <v>52</v>
      </c>
      <c r="C21" s="8" t="s">
        <v>10</v>
      </c>
      <c r="D21" s="8" t="s">
        <v>53</v>
      </c>
      <c r="E21" s="9" t="n">
        <v>5050</v>
      </c>
      <c r="F21" s="10" t="n">
        <f aca="false">E21*1000</f>
        <v>5050000</v>
      </c>
      <c r="G21" s="11" t="n">
        <f aca="false">IFERROR(F21/'Reglas Comerciales'!$B$5,0)</f>
        <v>1145.34547475137</v>
      </c>
      <c r="H21" s="7" t="s">
        <v>12</v>
      </c>
      <c r="I21" s="7" t="s">
        <v>13</v>
      </c>
    </row>
    <row r="22" customFormat="false" ht="15" hidden="false" customHeight="false" outlineLevel="0" collapsed="false">
      <c r="A22" s="2" t="n">
        <v>20</v>
      </c>
      <c r="B22" s="2" t="s">
        <v>54</v>
      </c>
      <c r="C22" s="3" t="s">
        <v>10</v>
      </c>
      <c r="D22" s="3" t="s">
        <v>55</v>
      </c>
      <c r="E22" s="4" t="n">
        <v>3730</v>
      </c>
      <c r="F22" s="5" t="n">
        <f aca="false">E22*1000</f>
        <v>3730000</v>
      </c>
      <c r="G22" s="6" t="n">
        <f aca="false">IFERROR(F22/'Reglas Comerciales'!$B$5,0)</f>
        <v>845.968043727249</v>
      </c>
      <c r="H22" s="2" t="s">
        <v>12</v>
      </c>
      <c r="I22" s="2" t="s">
        <v>13</v>
      </c>
    </row>
    <row r="23" customFormat="false" ht="15" hidden="false" customHeight="false" outlineLevel="0" collapsed="false">
      <c r="A23" s="7" t="n">
        <v>21</v>
      </c>
      <c r="B23" s="7" t="s">
        <v>56</v>
      </c>
      <c r="C23" s="8" t="s">
        <v>10</v>
      </c>
      <c r="D23" s="8" t="s">
        <v>57</v>
      </c>
      <c r="E23" s="9" t="n">
        <v>3390</v>
      </c>
      <c r="F23" s="10" t="n">
        <f aca="false">E23*1000</f>
        <v>3390000</v>
      </c>
      <c r="G23" s="11" t="n">
        <f aca="false">IFERROR(F23/'Reglas Comerciales'!$B$5,0)</f>
        <v>768.855675130127</v>
      </c>
      <c r="H23" s="7" t="s">
        <v>12</v>
      </c>
      <c r="I23" s="7" t="s">
        <v>13</v>
      </c>
    </row>
    <row r="24" customFormat="false" ht="15" hidden="false" customHeight="false" outlineLevel="0" collapsed="false">
      <c r="A24" s="2" t="n">
        <v>22</v>
      </c>
      <c r="B24" s="2" t="s">
        <v>58</v>
      </c>
      <c r="C24" s="3" t="s">
        <v>59</v>
      </c>
      <c r="D24" s="3" t="s">
        <v>60</v>
      </c>
      <c r="E24" s="4" t="n">
        <v>440</v>
      </c>
      <c r="F24" s="5" t="n">
        <f aca="false">E24*1000</f>
        <v>440000</v>
      </c>
      <c r="G24" s="6" t="n">
        <f aca="false">IFERROR(F24/'Reglas Comerciales'!$B$5,0)</f>
        <v>99.7924770080401</v>
      </c>
      <c r="H24" s="2" t="s">
        <v>61</v>
      </c>
      <c r="I24" s="2" t="s">
        <v>13</v>
      </c>
    </row>
    <row r="25" customFormat="false" ht="15" hidden="false" customHeight="false" outlineLevel="0" collapsed="false">
      <c r="A25" s="7" t="n">
        <v>23</v>
      </c>
      <c r="B25" s="7" t="s">
        <v>62</v>
      </c>
      <c r="C25" s="8" t="s">
        <v>10</v>
      </c>
      <c r="D25" s="8" t="s">
        <v>63</v>
      </c>
      <c r="E25" s="9" t="n">
        <v>1850</v>
      </c>
      <c r="F25" s="10" t="n">
        <f aca="false">E25*1000</f>
        <v>1850000</v>
      </c>
      <c r="G25" s="11" t="n">
        <f aca="false">IFERROR(F25/'Reglas Comerciales'!$B$5,0)</f>
        <v>419.582005601987</v>
      </c>
      <c r="H25" s="7" t="s">
        <v>12</v>
      </c>
      <c r="I25" s="7" t="s">
        <v>13</v>
      </c>
    </row>
    <row r="26" customFormat="false" ht="15" hidden="false" customHeight="false" outlineLevel="0" collapsed="false">
      <c r="A26" s="2" t="n">
        <v>24</v>
      </c>
      <c r="B26" s="2" t="s">
        <v>64</v>
      </c>
      <c r="C26" s="3" t="s">
        <v>10</v>
      </c>
      <c r="D26" s="3" t="s">
        <v>65</v>
      </c>
      <c r="E26" s="4" t="n">
        <v>1960</v>
      </c>
      <c r="F26" s="5" t="n">
        <f aca="false">E26*1000</f>
        <v>1960000</v>
      </c>
      <c r="G26" s="6" t="n">
        <f aca="false">IFERROR(F26/'Reglas Comerciales'!$B$5,0)</f>
        <v>444.530124853997</v>
      </c>
      <c r="H26" s="2" t="s">
        <v>12</v>
      </c>
      <c r="I26" s="2" t="s">
        <v>13</v>
      </c>
    </row>
    <row r="27" customFormat="false" ht="15" hidden="false" customHeight="false" outlineLevel="0" collapsed="false">
      <c r="A27" s="7" t="n">
        <v>25</v>
      </c>
      <c r="B27" s="7" t="s">
        <v>66</v>
      </c>
      <c r="C27" s="8" t="s">
        <v>10</v>
      </c>
      <c r="D27" s="8" t="s">
        <v>67</v>
      </c>
      <c r="E27" s="9" t="n">
        <v>2880</v>
      </c>
      <c r="F27" s="10" t="n">
        <f aca="false">E27*1000</f>
        <v>2880000</v>
      </c>
      <c r="G27" s="11" t="n">
        <f aca="false">IFERROR(F27/'Reglas Comerciales'!$B$5,0)</f>
        <v>653.187122234444</v>
      </c>
      <c r="H27" s="7" t="s">
        <v>12</v>
      </c>
      <c r="I27" s="7" t="s">
        <v>13</v>
      </c>
    </row>
    <row r="28" customFormat="false" ht="15" hidden="false" customHeight="false" outlineLevel="0" collapsed="false">
      <c r="A28" s="2" t="n">
        <v>26</v>
      </c>
      <c r="B28" s="2" t="s">
        <v>68</v>
      </c>
      <c r="C28" s="3" t="s">
        <v>10</v>
      </c>
      <c r="D28" s="3" t="s">
        <v>69</v>
      </c>
      <c r="E28" s="4" t="n">
        <v>1870</v>
      </c>
      <c r="F28" s="5" t="n">
        <f aca="false">E28*1000</f>
        <v>1870000</v>
      </c>
      <c r="G28" s="6" t="n">
        <f aca="false">IFERROR(F28/'Reglas Comerciales'!$B$5,0)</f>
        <v>424.11802728417</v>
      </c>
      <c r="H28" s="2" t="s">
        <v>12</v>
      </c>
      <c r="I28" s="2" t="s">
        <v>13</v>
      </c>
    </row>
    <row r="29" customFormat="false" ht="15" hidden="false" customHeight="false" outlineLevel="0" collapsed="false">
      <c r="A29" s="7" t="n">
        <v>27</v>
      </c>
      <c r="B29" s="7" t="s">
        <v>70</v>
      </c>
      <c r="C29" s="8" t="s">
        <v>10</v>
      </c>
      <c r="D29" s="8" t="s">
        <v>71</v>
      </c>
      <c r="E29" s="9" t="n">
        <v>2660</v>
      </c>
      <c r="F29" s="10" t="n">
        <f aca="false">E29*1000</f>
        <v>2660000</v>
      </c>
      <c r="G29" s="11" t="n">
        <f aca="false">IFERROR(F29/'Reglas Comerciales'!$B$5,0)</f>
        <v>603.290883730424</v>
      </c>
      <c r="H29" s="7" t="s">
        <v>12</v>
      </c>
      <c r="I29" s="7" t="s">
        <v>13</v>
      </c>
    </row>
    <row r="30" customFormat="false" ht="15" hidden="false" customHeight="false" outlineLevel="0" collapsed="false">
      <c r="A30" s="2" t="n">
        <v>28</v>
      </c>
      <c r="B30" s="2" t="s">
        <v>72</v>
      </c>
      <c r="C30" s="3" t="s">
        <v>10</v>
      </c>
      <c r="D30" s="3" t="s">
        <v>73</v>
      </c>
      <c r="E30" s="4" t="n">
        <v>1060</v>
      </c>
      <c r="F30" s="5" t="n">
        <f aca="false">E30*1000</f>
        <v>1060000</v>
      </c>
      <c r="G30" s="6" t="n">
        <f aca="false">IFERROR(F30/'Reglas Comerciales'!$B$5,0)</f>
        <v>240.409149155733</v>
      </c>
      <c r="H30" s="2" t="s">
        <v>12</v>
      </c>
      <c r="I30" s="2" t="s">
        <v>13</v>
      </c>
    </row>
    <row r="31" customFormat="false" ht="15" hidden="false" customHeight="false" outlineLevel="0" collapsed="false">
      <c r="A31" s="7" t="n">
        <v>29</v>
      </c>
      <c r="B31" s="7" t="s">
        <v>74</v>
      </c>
      <c r="C31" s="8" t="s">
        <v>10</v>
      </c>
      <c r="D31" s="8" t="s">
        <v>75</v>
      </c>
      <c r="E31" s="9" t="n">
        <v>1130</v>
      </c>
      <c r="F31" s="10" t="n">
        <f aca="false">E31*1000</f>
        <v>1130000</v>
      </c>
      <c r="G31" s="11" t="n">
        <f aca="false">IFERROR(F31/'Reglas Comerciales'!$B$5,0)</f>
        <v>256.285225043376</v>
      </c>
      <c r="H31" s="7" t="s">
        <v>12</v>
      </c>
      <c r="I31" s="7" t="s">
        <v>13</v>
      </c>
    </row>
    <row r="32" customFormat="false" ht="15" hidden="false" customHeight="false" outlineLevel="0" collapsed="false">
      <c r="A32" s="2" t="n">
        <v>30</v>
      </c>
      <c r="B32" s="2" t="s">
        <v>76</v>
      </c>
      <c r="C32" s="3" t="s">
        <v>10</v>
      </c>
      <c r="D32" s="3" t="s">
        <v>77</v>
      </c>
      <c r="E32" s="4" t="n">
        <v>1260</v>
      </c>
      <c r="F32" s="5" t="n">
        <f aca="false">E32*1000</f>
        <v>1260000</v>
      </c>
      <c r="G32" s="6" t="n">
        <f aca="false">IFERROR(F32/'Reglas Comerciales'!$B$5,0)</f>
        <v>285.769365977569</v>
      </c>
      <c r="H32" s="2" t="s">
        <v>12</v>
      </c>
      <c r="I32" s="2" t="s">
        <v>13</v>
      </c>
    </row>
    <row r="33" customFormat="false" ht="15" hidden="false" customHeight="false" outlineLevel="0" collapsed="false">
      <c r="A33" s="7" t="n">
        <v>31</v>
      </c>
      <c r="B33" s="7" t="s">
        <v>78</v>
      </c>
      <c r="C33" s="8" t="s">
        <v>10</v>
      </c>
      <c r="D33" s="8" t="s">
        <v>79</v>
      </c>
      <c r="E33" s="9" t="n">
        <v>2330</v>
      </c>
      <c r="F33" s="10" t="n">
        <f aca="false">E33*1000</f>
        <v>2330000</v>
      </c>
      <c r="G33" s="11" t="n">
        <f aca="false">IFERROR(F33/'Reglas Comerciales'!$B$5,0)</f>
        <v>528.446525974394</v>
      </c>
      <c r="H33" s="7" t="s">
        <v>12</v>
      </c>
      <c r="I33" s="7" t="s">
        <v>13</v>
      </c>
    </row>
    <row r="34" customFormat="false" ht="15" hidden="false" customHeight="false" outlineLevel="0" collapsed="false">
      <c r="A34" s="2" t="n">
        <v>32</v>
      </c>
      <c r="B34" s="2" t="s">
        <v>80</v>
      </c>
      <c r="C34" s="3" t="s">
        <v>10</v>
      </c>
      <c r="D34" s="3" t="s">
        <v>81</v>
      </c>
      <c r="E34" s="4" t="n">
        <v>630</v>
      </c>
      <c r="F34" s="5" t="n">
        <f aca="false">E34*1000</f>
        <v>630000</v>
      </c>
      <c r="G34" s="6" t="n">
        <f aca="false">IFERROR(F34/'Reglas Comerciales'!$B$5,0)</f>
        <v>142.884682988785</v>
      </c>
      <c r="H34" s="2" t="s">
        <v>12</v>
      </c>
      <c r="I34" s="2" t="s">
        <v>13</v>
      </c>
    </row>
    <row r="35" customFormat="false" ht="15" hidden="false" customHeight="false" outlineLevel="0" collapsed="false">
      <c r="A35" s="7" t="n">
        <v>33</v>
      </c>
      <c r="B35" s="7" t="s">
        <v>82</v>
      </c>
      <c r="C35" s="8" t="s">
        <v>10</v>
      </c>
      <c r="D35" s="8" t="s">
        <v>83</v>
      </c>
      <c r="E35" s="9" t="n">
        <v>670</v>
      </c>
      <c r="F35" s="10" t="n">
        <f aca="false">E35*1000</f>
        <v>670000</v>
      </c>
      <c r="G35" s="11" t="n">
        <f aca="false">IFERROR(F35/'Reglas Comerciales'!$B$5,0)</f>
        <v>151.956726353152</v>
      </c>
      <c r="H35" s="7" t="s">
        <v>12</v>
      </c>
      <c r="I35" s="7" t="s">
        <v>13</v>
      </c>
    </row>
    <row r="36" customFormat="false" ht="15" hidden="false" customHeight="false" outlineLevel="0" collapsed="false">
      <c r="A36" s="2" t="n">
        <v>34</v>
      </c>
      <c r="B36" s="2" t="s">
        <v>84</v>
      </c>
      <c r="C36" s="3" t="s">
        <v>10</v>
      </c>
      <c r="D36" s="3" t="s">
        <v>85</v>
      </c>
      <c r="E36" s="4" t="n">
        <v>1250</v>
      </c>
      <c r="F36" s="5" t="n">
        <f aca="false">E36*1000</f>
        <v>1250000</v>
      </c>
      <c r="G36" s="6" t="n">
        <f aca="false">IFERROR(F36/'Reglas Comerciales'!$B$5,0)</f>
        <v>283.501355136478</v>
      </c>
      <c r="H36" s="2" t="s">
        <v>12</v>
      </c>
      <c r="I36" s="2" t="s">
        <v>13</v>
      </c>
    </row>
    <row r="37" customFormat="false" ht="15" hidden="false" customHeight="false" outlineLevel="0" collapsed="false">
      <c r="A37" s="12" t="n">
        <v>35</v>
      </c>
      <c r="B37" s="12" t="s">
        <v>86</v>
      </c>
      <c r="C37" s="13" t="s">
        <v>10</v>
      </c>
      <c r="D37" s="13" t="s">
        <v>87</v>
      </c>
      <c r="E37" s="14" t="n">
        <v>0</v>
      </c>
      <c r="F37" s="15" t="n">
        <f aca="false">E37*1000</f>
        <v>0</v>
      </c>
      <c r="G37" s="16" t="n">
        <f aca="false">IFERROR(F37/'Reglas Comerciales'!$B$5,0)</f>
        <v>0</v>
      </c>
      <c r="H37" s="12" t="s">
        <v>12</v>
      </c>
      <c r="I37" s="12" t="s">
        <v>88</v>
      </c>
    </row>
    <row r="38" customFormat="false" ht="15" hidden="false" customHeight="false" outlineLevel="0" collapsed="false">
      <c r="A38" s="12" t="n">
        <v>36</v>
      </c>
      <c r="B38" s="12" t="s">
        <v>89</v>
      </c>
      <c r="C38" s="13" t="s">
        <v>10</v>
      </c>
      <c r="D38" s="13" t="s">
        <v>90</v>
      </c>
      <c r="E38" s="14" t="n">
        <v>0</v>
      </c>
      <c r="F38" s="15" t="n">
        <f aca="false">E38*1000</f>
        <v>0</v>
      </c>
      <c r="G38" s="16" t="n">
        <f aca="false">IFERROR(F38/'Reglas Comerciales'!$B$5,0)</f>
        <v>0</v>
      </c>
      <c r="H38" s="12" t="s">
        <v>12</v>
      </c>
      <c r="I38" s="12" t="s">
        <v>88</v>
      </c>
    </row>
    <row r="39" customFormat="false" ht="15" hidden="false" customHeight="false" outlineLevel="0" collapsed="false">
      <c r="A39" s="12" t="n">
        <v>37</v>
      </c>
      <c r="B39" s="12" t="s">
        <v>91</v>
      </c>
      <c r="C39" s="13" t="s">
        <v>10</v>
      </c>
      <c r="D39" s="13" t="s">
        <v>92</v>
      </c>
      <c r="E39" s="14" t="n">
        <v>0</v>
      </c>
      <c r="F39" s="15" t="n">
        <f aca="false">E39*1000</f>
        <v>0</v>
      </c>
      <c r="G39" s="16" t="n">
        <f aca="false">IFERROR(F39/'Reglas Comerciales'!$B$5,0)</f>
        <v>0</v>
      </c>
      <c r="H39" s="12" t="s">
        <v>12</v>
      </c>
      <c r="I39" s="12" t="s">
        <v>88</v>
      </c>
    </row>
    <row r="40" customFormat="false" ht="15" hidden="false" customHeight="false" outlineLevel="0" collapsed="false">
      <c r="A40" s="2" t="n">
        <v>38</v>
      </c>
      <c r="B40" s="2" t="s">
        <v>93</v>
      </c>
      <c r="C40" s="3" t="s">
        <v>10</v>
      </c>
      <c r="D40" s="3" t="s">
        <v>94</v>
      </c>
      <c r="E40" s="4" t="n">
        <v>5720</v>
      </c>
      <c r="F40" s="5" t="n">
        <f aca="false">E40*1000</f>
        <v>5720000</v>
      </c>
      <c r="G40" s="6" t="n">
        <f aca="false">IFERROR(F40/'Reglas Comerciales'!$B$5,0)</f>
        <v>1297.30220110452</v>
      </c>
      <c r="H40" s="2" t="s">
        <v>12</v>
      </c>
      <c r="I40" s="2" t="s">
        <v>13</v>
      </c>
    </row>
    <row r="41" customFormat="false" ht="15" hidden="false" customHeight="false" outlineLevel="0" collapsed="false">
      <c r="A41" s="7" t="n">
        <v>39</v>
      </c>
      <c r="B41" s="7" t="s">
        <v>95</v>
      </c>
      <c r="C41" s="8" t="s">
        <v>10</v>
      </c>
      <c r="D41" s="8" t="s">
        <v>96</v>
      </c>
      <c r="E41" s="9" t="n">
        <v>2070</v>
      </c>
      <c r="F41" s="10" t="n">
        <f aca="false">E41*1000</f>
        <v>2070000</v>
      </c>
      <c r="G41" s="11" t="n">
        <f aca="false">IFERROR(F41/'Reglas Comerciales'!$B$5,0)</f>
        <v>469.478244106007</v>
      </c>
      <c r="H41" s="7" t="s">
        <v>12</v>
      </c>
      <c r="I41" s="7" t="s">
        <v>13</v>
      </c>
    </row>
    <row r="42" customFormat="false" ht="15" hidden="false" customHeight="false" outlineLevel="0" collapsed="false">
      <c r="A42" s="2" t="n">
        <v>40</v>
      </c>
      <c r="B42" s="2" t="s">
        <v>97</v>
      </c>
      <c r="C42" s="3" t="s">
        <v>10</v>
      </c>
      <c r="D42" s="3" t="s">
        <v>98</v>
      </c>
      <c r="E42" s="4" t="n">
        <v>2590</v>
      </c>
      <c r="F42" s="5" t="n">
        <f aca="false">E42*1000</f>
        <v>2590000</v>
      </c>
      <c r="G42" s="6" t="n">
        <f aca="false">IFERROR(F42/'Reglas Comerciales'!$B$5,0)</f>
        <v>587.414807842782</v>
      </c>
      <c r="H42" s="2" t="s">
        <v>12</v>
      </c>
      <c r="I42" s="2" t="s">
        <v>13</v>
      </c>
    </row>
    <row r="43" customFormat="false" ht="15" hidden="false" customHeight="false" outlineLevel="0" collapsed="false">
      <c r="A43" s="7" t="n">
        <v>41</v>
      </c>
      <c r="B43" s="7" t="s">
        <v>99</v>
      </c>
      <c r="C43" s="8" t="s">
        <v>10</v>
      </c>
      <c r="D43" s="8" t="s">
        <v>100</v>
      </c>
      <c r="E43" s="9" t="n">
        <v>2650</v>
      </c>
      <c r="F43" s="10" t="n">
        <f aca="false">E43*1000</f>
        <v>2650000</v>
      </c>
      <c r="G43" s="11" t="n">
        <f aca="false">IFERROR(F43/'Reglas Comerciales'!$B$5,0)</f>
        <v>601.022872889333</v>
      </c>
      <c r="H43" s="7" t="s">
        <v>12</v>
      </c>
      <c r="I43" s="7" t="s">
        <v>13</v>
      </c>
    </row>
    <row r="44" customFormat="false" ht="15" hidden="false" customHeight="false" outlineLevel="0" collapsed="false">
      <c r="A44" s="2" t="n">
        <v>42</v>
      </c>
      <c r="B44" s="2" t="s">
        <v>101</v>
      </c>
      <c r="C44" s="3" t="s">
        <v>10</v>
      </c>
      <c r="D44" s="3" t="s">
        <v>102</v>
      </c>
      <c r="E44" s="4" t="n">
        <v>3190</v>
      </c>
      <c r="F44" s="5" t="n">
        <f aca="false">E44*1000</f>
        <v>3190000</v>
      </c>
      <c r="G44" s="6" t="n">
        <f aca="false">IFERROR(F44/'Reglas Comerciales'!$B$5,0)</f>
        <v>723.495458308291</v>
      </c>
      <c r="H44" s="2" t="s">
        <v>12</v>
      </c>
      <c r="I44" s="2" t="s">
        <v>13</v>
      </c>
    </row>
    <row r="45" customFormat="false" ht="15" hidden="false" customHeight="false" outlineLevel="0" collapsed="false">
      <c r="A45" s="7" t="n">
        <v>43</v>
      </c>
      <c r="B45" s="7" t="s">
        <v>103</v>
      </c>
      <c r="C45" s="8" t="s">
        <v>10</v>
      </c>
      <c r="D45" s="8" t="s">
        <v>104</v>
      </c>
      <c r="E45" s="9" t="n">
        <v>2970</v>
      </c>
      <c r="F45" s="10" t="n">
        <f aca="false">E45*1000</f>
        <v>2970000</v>
      </c>
      <c r="G45" s="11" t="n">
        <f aca="false">IFERROR(F45/'Reglas Comerciales'!$B$5,0)</f>
        <v>673.599219804271</v>
      </c>
      <c r="H45" s="7" t="s">
        <v>12</v>
      </c>
      <c r="I45" s="7" t="s">
        <v>13</v>
      </c>
    </row>
    <row r="46" customFormat="false" ht="15" hidden="false" customHeight="false" outlineLevel="0" collapsed="false">
      <c r="A46" s="2" t="n">
        <v>44</v>
      </c>
      <c r="B46" s="2" t="s">
        <v>105</v>
      </c>
      <c r="C46" s="3" t="s">
        <v>10</v>
      </c>
      <c r="D46" s="3" t="s">
        <v>106</v>
      </c>
      <c r="E46" s="4" t="n">
        <v>2440</v>
      </c>
      <c r="F46" s="5" t="n">
        <f aca="false">E46*1000</f>
        <v>2440000</v>
      </c>
      <c r="G46" s="6" t="n">
        <f aca="false">IFERROR(F46/'Reglas Comerciales'!$B$5,0)</f>
        <v>553.394645226404</v>
      </c>
      <c r="H46" s="2" t="s">
        <v>12</v>
      </c>
      <c r="I46" s="2" t="s">
        <v>13</v>
      </c>
    </row>
    <row r="47" customFormat="false" ht="15" hidden="false" customHeight="false" outlineLevel="0" collapsed="false">
      <c r="A47" s="7" t="n">
        <v>45</v>
      </c>
      <c r="B47" s="7" t="s">
        <v>107</v>
      </c>
      <c r="C47" s="8" t="s">
        <v>10</v>
      </c>
      <c r="D47" s="8" t="s">
        <v>108</v>
      </c>
      <c r="E47" s="9" t="n">
        <v>2030</v>
      </c>
      <c r="F47" s="10" t="n">
        <f aca="false">E47*1000</f>
        <v>2030000</v>
      </c>
      <c r="G47" s="11" t="n">
        <f aca="false">IFERROR(F47/'Reglas Comerciales'!$B$5,0)</f>
        <v>460.40620074164</v>
      </c>
      <c r="H47" s="7" t="s">
        <v>12</v>
      </c>
      <c r="I47" s="7" t="s">
        <v>13</v>
      </c>
    </row>
    <row r="48" customFormat="false" ht="15" hidden="false" customHeight="false" outlineLevel="0" collapsed="false">
      <c r="A48" s="2" t="n">
        <v>46</v>
      </c>
      <c r="B48" s="2" t="s">
        <v>109</v>
      </c>
      <c r="C48" s="3" t="s">
        <v>10</v>
      </c>
      <c r="D48" s="3" t="s">
        <v>110</v>
      </c>
      <c r="E48" s="4" t="n">
        <v>1960</v>
      </c>
      <c r="F48" s="5" t="n">
        <f aca="false">E48*1000</f>
        <v>1960000</v>
      </c>
      <c r="G48" s="6" t="n">
        <f aca="false">IFERROR(F48/'Reglas Comerciales'!$B$5,0)</f>
        <v>444.530124853997</v>
      </c>
      <c r="H48" s="2" t="s">
        <v>12</v>
      </c>
      <c r="I48" s="2" t="s">
        <v>13</v>
      </c>
    </row>
    <row r="49" customFormat="false" ht="15" hidden="false" customHeight="false" outlineLevel="0" collapsed="false">
      <c r="A49" s="7" t="n">
        <v>47</v>
      </c>
      <c r="B49" s="7" t="s">
        <v>111</v>
      </c>
      <c r="C49" s="8" t="s">
        <v>10</v>
      </c>
      <c r="D49" s="8" t="s">
        <v>112</v>
      </c>
      <c r="E49" s="9" t="n">
        <v>2820</v>
      </c>
      <c r="F49" s="10" t="n">
        <f aca="false">E49*1000</f>
        <v>2820000</v>
      </c>
      <c r="G49" s="11" t="n">
        <f aca="false">IFERROR(F49/'Reglas Comerciales'!$B$5,0)</f>
        <v>639.579057187894</v>
      </c>
      <c r="H49" s="7" t="s">
        <v>12</v>
      </c>
      <c r="I49" s="7" t="s">
        <v>13</v>
      </c>
    </row>
    <row r="50" customFormat="false" ht="15" hidden="false" customHeight="false" outlineLevel="0" collapsed="false">
      <c r="A50" s="2" t="n">
        <v>48</v>
      </c>
      <c r="B50" s="2" t="s">
        <v>113</v>
      </c>
      <c r="C50" s="3" t="s">
        <v>10</v>
      </c>
      <c r="D50" s="3" t="s">
        <v>114</v>
      </c>
      <c r="E50" s="4" t="n">
        <v>3450</v>
      </c>
      <c r="F50" s="5" t="n">
        <f aca="false">E50*1000</f>
        <v>3450000</v>
      </c>
      <c r="G50" s="6" t="n">
        <f aca="false">IFERROR(F50/'Reglas Comerciales'!$B$5,0)</f>
        <v>782.463740176678</v>
      </c>
      <c r="H50" s="2" t="s">
        <v>12</v>
      </c>
      <c r="I50" s="2" t="s">
        <v>13</v>
      </c>
    </row>
    <row r="51" customFormat="false" ht="15" hidden="false" customHeight="false" outlineLevel="0" collapsed="false">
      <c r="A51" s="7" t="n">
        <v>49</v>
      </c>
      <c r="B51" s="7" t="s">
        <v>115</v>
      </c>
      <c r="C51" s="8" t="s">
        <v>10</v>
      </c>
      <c r="D51" s="8" t="s">
        <v>116</v>
      </c>
      <c r="E51" s="9" t="n">
        <v>4250</v>
      </c>
      <c r="F51" s="10" t="n">
        <f aca="false">E51*1000</f>
        <v>4250000</v>
      </c>
      <c r="G51" s="11" t="n">
        <f aca="false">IFERROR(F51/'Reglas Comerciales'!$B$5,0)</f>
        <v>963.904607464024</v>
      </c>
      <c r="H51" s="7" t="s">
        <v>12</v>
      </c>
      <c r="I51" s="7" t="s">
        <v>13</v>
      </c>
    </row>
    <row r="52" customFormat="false" ht="15" hidden="false" customHeight="false" outlineLevel="0" collapsed="false">
      <c r="A52" s="2" t="n">
        <v>50</v>
      </c>
      <c r="B52" s="2" t="s">
        <v>117</v>
      </c>
      <c r="C52" s="3" t="s">
        <v>10</v>
      </c>
      <c r="D52" s="3" t="s">
        <v>118</v>
      </c>
      <c r="E52" s="4" t="n">
        <v>9290</v>
      </c>
      <c r="F52" s="5" t="n">
        <f aca="false">E52*1000</f>
        <v>9290000</v>
      </c>
      <c r="G52" s="6" t="n">
        <f aca="false">IFERROR(F52/'Reglas Comerciales'!$B$5,0)</f>
        <v>2106.9820713743</v>
      </c>
      <c r="H52" s="2" t="s">
        <v>12</v>
      </c>
      <c r="I52" s="2" t="s">
        <v>13</v>
      </c>
    </row>
    <row r="53" customFormat="false" ht="15" hidden="false" customHeight="false" outlineLevel="0" collapsed="false">
      <c r="A53" s="7" t="n">
        <v>51</v>
      </c>
      <c r="B53" s="7" t="s">
        <v>119</v>
      </c>
      <c r="C53" s="8" t="s">
        <v>10</v>
      </c>
      <c r="D53" s="8" t="s">
        <v>120</v>
      </c>
      <c r="E53" s="9" t="n">
        <v>3810</v>
      </c>
      <c r="F53" s="10" t="n">
        <f aca="false">E53*1000</f>
        <v>3810000</v>
      </c>
      <c r="G53" s="11" t="n">
        <f aca="false">IFERROR(F53/'Reglas Comerciales'!$B$5,0)</f>
        <v>864.112130455984</v>
      </c>
      <c r="H53" s="7" t="s">
        <v>12</v>
      </c>
      <c r="I53" s="7" t="s">
        <v>13</v>
      </c>
    </row>
    <row r="54" customFormat="false" ht="15" hidden="false" customHeight="false" outlineLevel="0" collapsed="false">
      <c r="A54" s="2" t="n">
        <v>52</v>
      </c>
      <c r="B54" s="2" t="s">
        <v>121</v>
      </c>
      <c r="C54" s="3" t="s">
        <v>10</v>
      </c>
      <c r="D54" s="3" t="s">
        <v>122</v>
      </c>
      <c r="E54" s="4" t="n">
        <v>4090</v>
      </c>
      <c r="F54" s="5" t="n">
        <f aca="false">E54*1000</f>
        <v>4090000</v>
      </c>
      <c r="G54" s="6" t="n">
        <f aca="false">IFERROR(F54/'Reglas Comerciales'!$B$5,0)</f>
        <v>927.616434006555</v>
      </c>
      <c r="H54" s="2" t="s">
        <v>12</v>
      </c>
      <c r="I54" s="2" t="s">
        <v>13</v>
      </c>
    </row>
    <row r="55" customFormat="false" ht="15" hidden="false" customHeight="false" outlineLevel="0" collapsed="false">
      <c r="A55" s="7" t="n">
        <v>53</v>
      </c>
      <c r="B55" s="7" t="s">
        <v>123</v>
      </c>
      <c r="C55" s="8" t="s">
        <v>10</v>
      </c>
      <c r="D55" s="8" t="s">
        <v>124</v>
      </c>
      <c r="E55" s="9" t="n">
        <v>4850</v>
      </c>
      <c r="F55" s="10" t="n">
        <f aca="false">E55*1000</f>
        <v>4850000</v>
      </c>
      <c r="G55" s="11" t="n">
        <f aca="false">IFERROR(F55/'Reglas Comerciales'!$B$5,0)</f>
        <v>1099.98525792953</v>
      </c>
      <c r="H55" s="7" t="s">
        <v>12</v>
      </c>
      <c r="I55" s="7" t="s">
        <v>13</v>
      </c>
    </row>
    <row r="56" customFormat="false" ht="15" hidden="false" customHeight="false" outlineLevel="0" collapsed="false">
      <c r="A56" s="2" t="n">
        <v>54</v>
      </c>
      <c r="B56" s="2" t="s">
        <v>125</v>
      </c>
      <c r="C56" s="3" t="s">
        <v>10</v>
      </c>
      <c r="D56" s="3" t="s">
        <v>126</v>
      </c>
      <c r="E56" s="4" t="n">
        <v>10690</v>
      </c>
      <c r="F56" s="5" t="n">
        <f aca="false">E56*1000</f>
        <v>10690000</v>
      </c>
      <c r="G56" s="6" t="n">
        <f aca="false">IFERROR(F56/'Reglas Comerciales'!$B$5,0)</f>
        <v>2424.50358912716</v>
      </c>
      <c r="H56" s="2" t="s">
        <v>12</v>
      </c>
      <c r="I56" s="2" t="s">
        <v>13</v>
      </c>
    </row>
    <row r="57" customFormat="false" ht="15" hidden="false" customHeight="false" outlineLevel="0" collapsed="false">
      <c r="A57" s="7" t="n">
        <v>55</v>
      </c>
      <c r="B57" s="7" t="s">
        <v>127</v>
      </c>
      <c r="C57" s="8" t="s">
        <v>10</v>
      </c>
      <c r="D57" s="8" t="s">
        <v>128</v>
      </c>
      <c r="E57" s="9" t="n">
        <v>1530</v>
      </c>
      <c r="F57" s="10" t="n">
        <f aca="false">E57*1000</f>
        <v>1530000</v>
      </c>
      <c r="G57" s="11" t="n">
        <f aca="false">IFERROR(F57/'Reglas Comerciales'!$B$5,0)</f>
        <v>347.005658687049</v>
      </c>
      <c r="H57" s="7" t="s">
        <v>12</v>
      </c>
      <c r="I57" s="7" t="s">
        <v>13</v>
      </c>
    </row>
    <row r="58" customFormat="false" ht="15" hidden="false" customHeight="false" outlineLevel="0" collapsed="false">
      <c r="A58" s="2" t="n">
        <v>56</v>
      </c>
      <c r="B58" s="2" t="s">
        <v>129</v>
      </c>
      <c r="C58" s="3" t="s">
        <v>10</v>
      </c>
      <c r="D58" s="3" t="s">
        <v>130</v>
      </c>
      <c r="E58" s="4" t="n">
        <v>1770</v>
      </c>
      <c r="F58" s="5" t="n">
        <f aca="false">E58*1000</f>
        <v>1770000</v>
      </c>
      <c r="G58" s="6" t="n">
        <f aca="false">IFERROR(F58/'Reglas Comerciales'!$B$5,0)</f>
        <v>401.437918873252</v>
      </c>
      <c r="H58" s="2" t="s">
        <v>12</v>
      </c>
      <c r="I58" s="2" t="s">
        <v>13</v>
      </c>
    </row>
    <row r="59" customFormat="false" ht="15" hidden="false" customHeight="false" outlineLevel="0" collapsed="false">
      <c r="A59" s="7" t="n">
        <v>57</v>
      </c>
      <c r="B59" s="7" t="s">
        <v>131</v>
      </c>
      <c r="C59" s="8" t="s">
        <v>59</v>
      </c>
      <c r="D59" s="8" t="s">
        <v>132</v>
      </c>
      <c r="E59" s="9" t="n">
        <v>610</v>
      </c>
      <c r="F59" s="10" t="n">
        <f aca="false">E59*1000</f>
        <v>610000</v>
      </c>
      <c r="G59" s="11" t="n">
        <f aca="false">IFERROR(F59/'Reglas Comerciales'!$B$5,0)</f>
        <v>138.348661306601</v>
      </c>
      <c r="H59" s="7" t="s">
        <v>61</v>
      </c>
      <c r="I59" s="7" t="s">
        <v>13</v>
      </c>
    </row>
    <row r="60" customFormat="false" ht="15" hidden="false" customHeight="false" outlineLevel="0" collapsed="false">
      <c r="A60" s="2" t="n">
        <v>58</v>
      </c>
      <c r="B60" s="2" t="s">
        <v>133</v>
      </c>
      <c r="C60" s="3" t="s">
        <v>59</v>
      </c>
      <c r="D60" s="3" t="s">
        <v>134</v>
      </c>
      <c r="E60" s="4" t="n">
        <v>460</v>
      </c>
      <c r="F60" s="5" t="n">
        <f aca="false">E60*1000</f>
        <v>460000</v>
      </c>
      <c r="G60" s="6" t="n">
        <f aca="false">IFERROR(F60/'Reglas Comerciales'!$B$5,0)</f>
        <v>104.328498690224</v>
      </c>
      <c r="H60" s="2" t="s">
        <v>61</v>
      </c>
      <c r="I60" s="2" t="s">
        <v>13</v>
      </c>
    </row>
    <row r="61" customFormat="false" ht="15" hidden="false" customHeight="false" outlineLevel="0" collapsed="false">
      <c r="A61" s="7" t="n">
        <v>59</v>
      </c>
      <c r="B61" s="7" t="s">
        <v>135</v>
      </c>
      <c r="C61" s="8" t="s">
        <v>59</v>
      </c>
      <c r="D61" s="8" t="s">
        <v>136</v>
      </c>
      <c r="E61" s="9" t="n">
        <v>960</v>
      </c>
      <c r="F61" s="10" t="n">
        <f aca="false">E61*1000</f>
        <v>960000</v>
      </c>
      <c r="G61" s="11" t="n">
        <f aca="false">IFERROR(F61/'Reglas Comerciales'!$B$5,0)</f>
        <v>217.729040744815</v>
      </c>
      <c r="H61" s="7" t="s">
        <v>61</v>
      </c>
      <c r="I61" s="7" t="s">
        <v>13</v>
      </c>
    </row>
    <row r="62" customFormat="false" ht="15" hidden="false" customHeight="false" outlineLevel="0" collapsed="false">
      <c r="A62" s="2" t="n">
        <v>60</v>
      </c>
      <c r="B62" s="2" t="s">
        <v>137</v>
      </c>
      <c r="C62" s="3" t="s">
        <v>59</v>
      </c>
      <c r="D62" s="3" t="s">
        <v>138</v>
      </c>
      <c r="E62" s="4" t="n">
        <v>1350</v>
      </c>
      <c r="F62" s="5" t="n">
        <f aca="false">E62*1000</f>
        <v>1350000</v>
      </c>
      <c r="G62" s="6" t="n">
        <f aca="false">IFERROR(F62/'Reglas Comerciales'!$B$5,0)</f>
        <v>306.181463547396</v>
      </c>
      <c r="H62" s="2" t="s">
        <v>61</v>
      </c>
      <c r="I62" s="2" t="s">
        <v>13</v>
      </c>
    </row>
    <row r="63" customFormat="false" ht="15" hidden="false" customHeight="false" outlineLevel="0" collapsed="false">
      <c r="A63" s="7" t="n">
        <v>61</v>
      </c>
      <c r="B63" s="7" t="s">
        <v>139</v>
      </c>
      <c r="C63" s="8" t="s">
        <v>59</v>
      </c>
      <c r="D63" s="8" t="s">
        <v>140</v>
      </c>
      <c r="E63" s="9" t="n">
        <v>980</v>
      </c>
      <c r="F63" s="10" t="n">
        <f aca="false">E63*1000</f>
        <v>980000</v>
      </c>
      <c r="G63" s="11" t="n">
        <f aca="false">IFERROR(F63/'Reglas Comerciales'!$B$5,0)</f>
        <v>222.265062426998</v>
      </c>
      <c r="H63" s="7" t="s">
        <v>61</v>
      </c>
      <c r="I63" s="7" t="s">
        <v>13</v>
      </c>
    </row>
    <row r="64" customFormat="false" ht="15" hidden="false" customHeight="false" outlineLevel="0" collapsed="false">
      <c r="A64" s="2" t="n">
        <v>62</v>
      </c>
      <c r="B64" s="2" t="s">
        <v>141</v>
      </c>
      <c r="C64" s="3" t="s">
        <v>59</v>
      </c>
      <c r="D64" s="3" t="s">
        <v>142</v>
      </c>
      <c r="E64" s="4" t="n">
        <v>1180</v>
      </c>
      <c r="F64" s="5" t="n">
        <f aca="false">E64*1000</f>
        <v>1180000</v>
      </c>
      <c r="G64" s="6" t="n">
        <f aca="false">IFERROR(F64/'Reglas Comerciales'!$B$5,0)</f>
        <v>267.625279248835</v>
      </c>
      <c r="H64" s="2" t="s">
        <v>61</v>
      </c>
      <c r="I64" s="2" t="s">
        <v>13</v>
      </c>
    </row>
    <row r="65" customFormat="false" ht="15" hidden="false" customHeight="false" outlineLevel="0" collapsed="false">
      <c r="A65" s="7" t="n">
        <v>63</v>
      </c>
      <c r="B65" s="7" t="s">
        <v>143</v>
      </c>
      <c r="C65" s="8" t="s">
        <v>59</v>
      </c>
      <c r="D65" s="8" t="s">
        <v>144</v>
      </c>
      <c r="E65" s="9" t="n">
        <v>1110</v>
      </c>
      <c r="F65" s="10" t="n">
        <f aca="false">E65*1000</f>
        <v>1110000</v>
      </c>
      <c r="G65" s="11" t="n">
        <f aca="false">IFERROR(F65/'Reglas Comerciales'!$B$5,0)</f>
        <v>251.749203361192</v>
      </c>
      <c r="H65" s="7" t="s">
        <v>61</v>
      </c>
      <c r="I65" s="7" t="s">
        <v>13</v>
      </c>
    </row>
    <row r="66" customFormat="false" ht="15" hidden="false" customHeight="false" outlineLevel="0" collapsed="false">
      <c r="A66" s="2" t="n">
        <v>64</v>
      </c>
      <c r="B66" s="2" t="s">
        <v>145</v>
      </c>
      <c r="C66" s="3" t="s">
        <v>59</v>
      </c>
      <c r="D66" s="3" t="s">
        <v>146</v>
      </c>
      <c r="E66" s="4" t="n">
        <v>3810</v>
      </c>
      <c r="F66" s="5" t="n">
        <f aca="false">E66*1000</f>
        <v>3810000</v>
      </c>
      <c r="G66" s="6" t="n">
        <f aca="false">IFERROR(F66/'Reglas Comerciales'!$B$5,0)</f>
        <v>864.112130455984</v>
      </c>
      <c r="H66" s="2" t="s">
        <v>61</v>
      </c>
      <c r="I66" s="2" t="s">
        <v>13</v>
      </c>
    </row>
    <row r="67" customFormat="false" ht="15" hidden="false" customHeight="false" outlineLevel="0" collapsed="false">
      <c r="A67" s="7" t="n">
        <v>65</v>
      </c>
      <c r="B67" s="7" t="s">
        <v>147</v>
      </c>
      <c r="C67" s="8" t="s">
        <v>59</v>
      </c>
      <c r="D67" s="8" t="s">
        <v>148</v>
      </c>
      <c r="E67" s="9" t="n">
        <v>630</v>
      </c>
      <c r="F67" s="10" t="n">
        <f aca="false">E67*1000</f>
        <v>630000</v>
      </c>
      <c r="G67" s="11" t="n">
        <f aca="false">IFERROR(F67/'Reglas Comerciales'!$B$5,0)</f>
        <v>142.884682988785</v>
      </c>
      <c r="H67" s="7" t="s">
        <v>61</v>
      </c>
      <c r="I67" s="7" t="s">
        <v>13</v>
      </c>
    </row>
    <row r="68" customFormat="false" ht="15" hidden="false" customHeight="false" outlineLevel="0" collapsed="false">
      <c r="A68" s="2" t="n">
        <v>66</v>
      </c>
      <c r="B68" s="2" t="s">
        <v>149</v>
      </c>
      <c r="C68" s="3" t="s">
        <v>59</v>
      </c>
      <c r="D68" s="3" t="s">
        <v>150</v>
      </c>
      <c r="E68" s="4" t="n">
        <v>720</v>
      </c>
      <c r="F68" s="5" t="n">
        <f aca="false">E68*1000</f>
        <v>720000</v>
      </c>
      <c r="G68" s="6" t="n">
        <f aca="false">IFERROR(F68/'Reglas Comerciales'!$B$5,0)</f>
        <v>163.296780558611</v>
      </c>
      <c r="H68" s="2" t="s">
        <v>61</v>
      </c>
      <c r="I68" s="2" t="s">
        <v>13</v>
      </c>
    </row>
    <row r="69" customFormat="false" ht="15" hidden="false" customHeight="false" outlineLevel="0" collapsed="false">
      <c r="A69" s="7" t="n">
        <v>67</v>
      </c>
      <c r="B69" s="7" t="s">
        <v>151</v>
      </c>
      <c r="C69" s="8" t="s">
        <v>59</v>
      </c>
      <c r="D69" s="8" t="s">
        <v>152</v>
      </c>
      <c r="E69" s="9" t="n">
        <v>640</v>
      </c>
      <c r="F69" s="10" t="n">
        <f aca="false">E69*1000</f>
        <v>640000</v>
      </c>
      <c r="G69" s="11" t="n">
        <f aca="false">IFERROR(F69/'Reglas Comerciales'!$B$5,0)</f>
        <v>145.152693829877</v>
      </c>
      <c r="H69" s="7" t="s">
        <v>61</v>
      </c>
      <c r="I69" s="7" t="s">
        <v>13</v>
      </c>
    </row>
    <row r="70" customFormat="false" ht="15" hidden="false" customHeight="false" outlineLevel="0" collapsed="false">
      <c r="A70" s="2" t="n">
        <v>68</v>
      </c>
      <c r="B70" s="2" t="s">
        <v>153</v>
      </c>
      <c r="C70" s="3" t="s">
        <v>154</v>
      </c>
      <c r="D70" s="3" t="s">
        <v>155</v>
      </c>
      <c r="E70" s="4" t="n">
        <v>1760</v>
      </c>
      <c r="F70" s="5" t="n">
        <f aca="false">E70*1000</f>
        <v>1760000</v>
      </c>
      <c r="G70" s="6" t="n">
        <f aca="false">IFERROR(F70/'Reglas Comerciales'!$B$5,0)</f>
        <v>399.16990803216</v>
      </c>
      <c r="H70" s="2" t="s">
        <v>12</v>
      </c>
      <c r="I70" s="2" t="s">
        <v>13</v>
      </c>
    </row>
    <row r="71" customFormat="false" ht="15" hidden="false" customHeight="false" outlineLevel="0" collapsed="false">
      <c r="A71" s="7" t="n">
        <v>69</v>
      </c>
      <c r="B71" s="7" t="s">
        <v>156</v>
      </c>
      <c r="C71" s="8" t="s">
        <v>154</v>
      </c>
      <c r="D71" s="8" t="s">
        <v>157</v>
      </c>
      <c r="E71" s="9" t="n">
        <v>3070</v>
      </c>
      <c r="F71" s="10" t="n">
        <f aca="false">E71*1000</f>
        <v>3070000</v>
      </c>
      <c r="G71" s="11" t="n">
        <f aca="false">IFERROR(F71/'Reglas Comerciales'!$B$5,0)</f>
        <v>696.279328215189</v>
      </c>
      <c r="H71" s="7" t="s">
        <v>12</v>
      </c>
      <c r="I71" s="7" t="s">
        <v>13</v>
      </c>
    </row>
    <row r="72" customFormat="false" ht="15" hidden="false" customHeight="false" outlineLevel="0" collapsed="false">
      <c r="A72" s="2" t="n">
        <v>70</v>
      </c>
      <c r="B72" s="2" t="s">
        <v>158</v>
      </c>
      <c r="C72" s="3" t="s">
        <v>154</v>
      </c>
      <c r="D72" s="3" t="s">
        <v>159</v>
      </c>
      <c r="E72" s="4" t="n">
        <v>2020</v>
      </c>
      <c r="F72" s="5" t="n">
        <f aca="false">E72*1000</f>
        <v>2020000</v>
      </c>
      <c r="G72" s="6" t="n">
        <f aca="false">IFERROR(F72/'Reglas Comerciales'!$B$5,0)</f>
        <v>458.138189900548</v>
      </c>
      <c r="H72" s="2" t="s">
        <v>12</v>
      </c>
      <c r="I72" s="2" t="s">
        <v>13</v>
      </c>
    </row>
    <row r="73" customFormat="false" ht="15" hidden="false" customHeight="false" outlineLevel="0" collapsed="false">
      <c r="A73" s="7" t="n">
        <v>71</v>
      </c>
      <c r="B73" s="7" t="s">
        <v>160</v>
      </c>
      <c r="C73" s="8" t="s">
        <v>154</v>
      </c>
      <c r="D73" s="8" t="s">
        <v>161</v>
      </c>
      <c r="E73" s="9" t="n">
        <v>1440</v>
      </c>
      <c r="F73" s="10" t="n">
        <f aca="false">E73*1000</f>
        <v>1440000</v>
      </c>
      <c r="G73" s="11" t="n">
        <f aca="false">IFERROR(F73/'Reglas Comerciales'!$B$5,0)</f>
        <v>326.593561117222</v>
      </c>
      <c r="H73" s="7" t="s">
        <v>12</v>
      </c>
      <c r="I73" s="7" t="s">
        <v>13</v>
      </c>
    </row>
    <row r="74" customFormat="false" ht="15" hidden="false" customHeight="false" outlineLevel="0" collapsed="false">
      <c r="A74" s="2" t="n">
        <v>72</v>
      </c>
      <c r="B74" s="2" t="s">
        <v>162</v>
      </c>
      <c r="C74" s="3" t="s">
        <v>154</v>
      </c>
      <c r="D74" s="3" t="s">
        <v>163</v>
      </c>
      <c r="E74" s="4" t="n">
        <v>9390</v>
      </c>
      <c r="F74" s="5" t="n">
        <f aca="false">E74*1000</f>
        <v>9390000</v>
      </c>
      <c r="G74" s="6" t="n">
        <f aca="false">IFERROR(F74/'Reglas Comerciales'!$B$5,0)</f>
        <v>2129.66217978522</v>
      </c>
      <c r="H74" s="2" t="s">
        <v>12</v>
      </c>
      <c r="I74" s="2" t="s">
        <v>13</v>
      </c>
    </row>
    <row r="75" customFormat="false" ht="15" hidden="false" customHeight="false" outlineLevel="0" collapsed="false">
      <c r="A75" s="7" t="n">
        <v>73</v>
      </c>
      <c r="B75" s="7" t="s">
        <v>164</v>
      </c>
      <c r="C75" s="8" t="s">
        <v>154</v>
      </c>
      <c r="D75" s="8" t="s">
        <v>165</v>
      </c>
      <c r="E75" s="9" t="n">
        <v>800</v>
      </c>
      <c r="F75" s="10" t="n">
        <f aca="false">E75*1000</f>
        <v>800000</v>
      </c>
      <c r="G75" s="11" t="n">
        <f aca="false">IFERROR(F75/'Reglas Comerciales'!$B$5,0)</f>
        <v>181.440867287346</v>
      </c>
      <c r="H75" s="7" t="s">
        <v>12</v>
      </c>
      <c r="I75" s="7" t="s">
        <v>13</v>
      </c>
    </row>
    <row r="76" customFormat="false" ht="15" hidden="false" customHeight="false" outlineLevel="0" collapsed="false">
      <c r="A76" s="2" t="n">
        <v>74</v>
      </c>
      <c r="B76" s="2" t="s">
        <v>166</v>
      </c>
      <c r="C76" s="3" t="s">
        <v>154</v>
      </c>
      <c r="D76" s="3" t="s">
        <v>167</v>
      </c>
      <c r="E76" s="4" t="n">
        <v>560</v>
      </c>
      <c r="F76" s="5" t="n">
        <f aca="false">E76*1000</f>
        <v>560000</v>
      </c>
      <c r="G76" s="6" t="n">
        <f aca="false">IFERROR(F76/'Reglas Comerciales'!$B$5,0)</f>
        <v>127.008607101142</v>
      </c>
      <c r="H76" s="2" t="s">
        <v>12</v>
      </c>
      <c r="I76" s="2" t="s">
        <v>13</v>
      </c>
    </row>
    <row r="77" customFormat="false" ht="15" hidden="false" customHeight="false" outlineLevel="0" collapsed="false">
      <c r="A77" s="7" t="n">
        <v>75</v>
      </c>
      <c r="B77" s="7" t="s">
        <v>168</v>
      </c>
      <c r="C77" s="8" t="s">
        <v>154</v>
      </c>
      <c r="D77" s="8" t="s">
        <v>169</v>
      </c>
      <c r="E77" s="9" t="n">
        <v>680</v>
      </c>
      <c r="F77" s="10" t="n">
        <f aca="false">E77*1000</f>
        <v>680000</v>
      </c>
      <c r="G77" s="11" t="n">
        <f aca="false">IFERROR(F77/'Reglas Comerciales'!$B$5,0)</f>
        <v>154.224737194244</v>
      </c>
      <c r="H77" s="7" t="s">
        <v>12</v>
      </c>
      <c r="I77" s="7" t="s">
        <v>13</v>
      </c>
    </row>
    <row r="78" customFormat="false" ht="15" hidden="false" customHeight="false" outlineLevel="0" collapsed="false">
      <c r="A78" s="2" t="n">
        <v>76</v>
      </c>
      <c r="B78" s="2" t="s">
        <v>170</v>
      </c>
      <c r="C78" s="3" t="s">
        <v>154</v>
      </c>
      <c r="D78" s="3" t="s">
        <v>171</v>
      </c>
      <c r="E78" s="4" t="n">
        <v>1970</v>
      </c>
      <c r="F78" s="5" t="n">
        <f aca="false">E78*1000</f>
        <v>1970000</v>
      </c>
      <c r="G78" s="6" t="n">
        <f aca="false">IFERROR(F78/'Reglas Comerciales'!$B$5,0)</f>
        <v>446.798135695089</v>
      </c>
      <c r="H78" s="2" t="s">
        <v>12</v>
      </c>
      <c r="I78" s="2" t="s">
        <v>13</v>
      </c>
    </row>
    <row r="79" customFormat="false" ht="15" hidden="false" customHeight="false" outlineLevel="0" collapsed="false">
      <c r="A79" s="7" t="n">
        <v>77</v>
      </c>
      <c r="B79" s="7" t="s">
        <v>172</v>
      </c>
      <c r="C79" s="8" t="s">
        <v>154</v>
      </c>
      <c r="D79" s="8" t="s">
        <v>173</v>
      </c>
      <c r="E79" s="9" t="n">
        <v>1430</v>
      </c>
      <c r="F79" s="10" t="n">
        <f aca="false">E79*1000</f>
        <v>1430000</v>
      </c>
      <c r="G79" s="11" t="n">
        <f aca="false">IFERROR(F79/'Reglas Comerciales'!$B$5,0)</f>
        <v>324.32555027613</v>
      </c>
      <c r="H79" s="7" t="s">
        <v>12</v>
      </c>
      <c r="I79" s="7" t="s">
        <v>13</v>
      </c>
    </row>
    <row r="80" customFormat="false" ht="15" hidden="false" customHeight="false" outlineLevel="0" collapsed="false">
      <c r="A80" s="2" t="n">
        <v>78</v>
      </c>
      <c r="B80" s="2" t="s">
        <v>174</v>
      </c>
      <c r="C80" s="3" t="s">
        <v>59</v>
      </c>
      <c r="D80" s="3" t="s">
        <v>175</v>
      </c>
      <c r="E80" s="4" t="n">
        <v>1110</v>
      </c>
      <c r="F80" s="5" t="n">
        <f aca="false">E80*1000</f>
        <v>1110000</v>
      </c>
      <c r="G80" s="6" t="n">
        <f aca="false">IFERROR(F80/'Reglas Comerciales'!$B$5,0)</f>
        <v>251.749203361192</v>
      </c>
      <c r="H80" s="2" t="s">
        <v>61</v>
      </c>
      <c r="I80" s="2" t="s">
        <v>13</v>
      </c>
    </row>
    <row r="81" customFormat="false" ht="15" hidden="false" customHeight="false" outlineLevel="0" collapsed="false">
      <c r="A81" s="7" t="n">
        <v>79</v>
      </c>
      <c r="B81" s="7" t="s">
        <v>176</v>
      </c>
      <c r="C81" s="8" t="s">
        <v>177</v>
      </c>
      <c r="D81" s="8" t="s">
        <v>178</v>
      </c>
      <c r="E81" s="9" t="n">
        <v>8190</v>
      </c>
      <c r="F81" s="10" t="n">
        <f aca="false">E81*1000</f>
        <v>8190000</v>
      </c>
      <c r="G81" s="11" t="n">
        <f aca="false">IFERROR(F81/'Reglas Comerciales'!$B$5,0)</f>
        <v>1857.5008788542</v>
      </c>
      <c r="H81" s="7" t="s">
        <v>12</v>
      </c>
      <c r="I81" s="7" t="s">
        <v>13</v>
      </c>
    </row>
    <row r="82" customFormat="false" ht="15" hidden="false" customHeight="false" outlineLevel="0" collapsed="false">
      <c r="A82" s="2" t="n">
        <v>80</v>
      </c>
      <c r="B82" s="2" t="s">
        <v>179</v>
      </c>
      <c r="C82" s="3" t="s">
        <v>59</v>
      </c>
      <c r="D82" s="3" t="s">
        <v>180</v>
      </c>
      <c r="E82" s="4" t="n">
        <v>720</v>
      </c>
      <c r="F82" s="5" t="n">
        <f aca="false">E82*1000</f>
        <v>720000</v>
      </c>
      <c r="G82" s="6" t="n">
        <f aca="false">IFERROR(F82/'Reglas Comerciales'!$B$5,0)</f>
        <v>163.296780558611</v>
      </c>
      <c r="H82" s="2" t="s">
        <v>61</v>
      </c>
      <c r="I82" s="2" t="s">
        <v>13</v>
      </c>
    </row>
    <row r="83" customFormat="false" ht="15" hidden="false" customHeight="false" outlineLevel="0" collapsed="false">
      <c r="A83" s="7" t="n">
        <v>81</v>
      </c>
      <c r="B83" s="7" t="s">
        <v>181</v>
      </c>
      <c r="C83" s="8" t="s">
        <v>59</v>
      </c>
      <c r="D83" s="8" t="s">
        <v>182</v>
      </c>
      <c r="E83" s="9" t="n">
        <v>1420</v>
      </c>
      <c r="F83" s="10" t="n">
        <f aca="false">E83*1000</f>
        <v>1420000</v>
      </c>
      <c r="G83" s="11" t="n">
        <f aca="false">IFERROR(F83/'Reglas Comerciales'!$B$5,0)</f>
        <v>322.057539435039</v>
      </c>
      <c r="H83" s="7" t="s">
        <v>61</v>
      </c>
      <c r="I83" s="7" t="s">
        <v>13</v>
      </c>
    </row>
    <row r="84" customFormat="false" ht="15" hidden="false" customHeight="false" outlineLevel="0" collapsed="false">
      <c r="A84" s="2" t="n">
        <v>82</v>
      </c>
      <c r="B84" s="2" t="s">
        <v>183</v>
      </c>
      <c r="C84" s="3" t="s">
        <v>184</v>
      </c>
      <c r="D84" s="3" t="s">
        <v>185</v>
      </c>
      <c r="E84" s="4" t="n">
        <v>6240</v>
      </c>
      <c r="F84" s="5" t="n">
        <f aca="false">E84*1000</f>
        <v>6240000</v>
      </c>
      <c r="G84" s="6" t="n">
        <f aca="false">IFERROR(F84/'Reglas Comerciales'!$B$5,0)</f>
        <v>1415.2387648413</v>
      </c>
      <c r="H84" s="2" t="s">
        <v>12</v>
      </c>
      <c r="I84" s="2" t="s">
        <v>13</v>
      </c>
    </row>
    <row r="85" customFormat="false" ht="15" hidden="false" customHeight="false" outlineLevel="0" collapsed="false">
      <c r="A85" s="7" t="s">
        <v>24</v>
      </c>
      <c r="B85" s="7" t="s">
        <v>186</v>
      </c>
      <c r="C85" s="8" t="s">
        <v>184</v>
      </c>
      <c r="D85" s="8" t="s">
        <v>187</v>
      </c>
      <c r="E85" s="9" t="n">
        <v>3490</v>
      </c>
      <c r="F85" s="10" t="n">
        <f aca="false">E85*1000</f>
        <v>3490000</v>
      </c>
      <c r="G85" s="11" t="n">
        <f aca="false">IFERROR(F85/'Reglas Comerciales'!$B$5,0)</f>
        <v>791.535783541045</v>
      </c>
      <c r="H85" s="7" t="s">
        <v>12</v>
      </c>
      <c r="I85" s="7" t="s">
        <v>13</v>
      </c>
    </row>
    <row r="86" customFormat="false" ht="15" hidden="false" customHeight="false" outlineLevel="0" collapsed="false">
      <c r="A86" s="2" t="s">
        <v>24</v>
      </c>
      <c r="B86" s="2" t="s">
        <v>188</v>
      </c>
      <c r="C86" s="3" t="s">
        <v>189</v>
      </c>
      <c r="D86" s="3" t="s">
        <v>190</v>
      </c>
      <c r="E86" s="4" t="n">
        <v>990</v>
      </c>
      <c r="F86" s="5" t="n">
        <f aca="false">E86*1000</f>
        <v>990000</v>
      </c>
      <c r="G86" s="6" t="n">
        <f aca="false">IFERROR(F86/'Reglas Comerciales'!$B$5,0)</f>
        <v>224.53307326809</v>
      </c>
      <c r="H86" s="2" t="s">
        <v>12</v>
      </c>
      <c r="I86" s="2" t="s">
        <v>13</v>
      </c>
    </row>
    <row r="87" customFormat="false" ht="15" hidden="false" customHeight="false" outlineLevel="0" collapsed="false">
      <c r="A87" s="7" t="n">
        <v>83</v>
      </c>
      <c r="B87" s="7" t="s">
        <v>191</v>
      </c>
      <c r="C87" s="8" t="s">
        <v>184</v>
      </c>
      <c r="D87" s="8" t="s">
        <v>192</v>
      </c>
      <c r="E87" s="9" t="n">
        <v>5190</v>
      </c>
      <c r="F87" s="10" t="n">
        <f aca="false">E87*1000</f>
        <v>5190000</v>
      </c>
      <c r="G87" s="11" t="n">
        <f aca="false">IFERROR(F87/'Reglas Comerciales'!$B$5,0)</f>
        <v>1177.09762652666</v>
      </c>
      <c r="H87" s="7" t="s">
        <v>12</v>
      </c>
      <c r="I87" s="7" t="s">
        <v>13</v>
      </c>
    </row>
    <row r="88" customFormat="false" ht="15" hidden="false" customHeight="false" outlineLevel="0" collapsed="false">
      <c r="A88" s="2" t="n">
        <v>84</v>
      </c>
      <c r="B88" s="2" t="s">
        <v>193</v>
      </c>
      <c r="C88" s="3" t="s">
        <v>189</v>
      </c>
      <c r="D88" s="3" t="s">
        <v>194</v>
      </c>
      <c r="E88" s="4" t="n">
        <v>1480</v>
      </c>
      <c r="F88" s="5" t="n">
        <f aca="false">E88*1000</f>
        <v>1480000</v>
      </c>
      <c r="G88" s="6" t="n">
        <f aca="false">IFERROR(F88/'Reglas Comerciales'!$B$5,0)</f>
        <v>335.665604481589</v>
      </c>
      <c r="H88" s="2" t="s">
        <v>12</v>
      </c>
      <c r="I88" s="2" t="s">
        <v>13</v>
      </c>
    </row>
    <row r="89" customFormat="false" ht="15" hidden="false" customHeight="false" outlineLevel="0" collapsed="false">
      <c r="A89" s="7" t="n">
        <v>85</v>
      </c>
      <c r="B89" s="7" t="s">
        <v>195</v>
      </c>
      <c r="C89" s="8" t="s">
        <v>189</v>
      </c>
      <c r="D89" s="8" t="s">
        <v>196</v>
      </c>
      <c r="E89" s="9" t="n">
        <v>1490</v>
      </c>
      <c r="F89" s="10" t="n">
        <f aca="false">E89*1000</f>
        <v>1490000</v>
      </c>
      <c r="G89" s="11" t="n">
        <f aca="false">IFERROR(F89/'Reglas Comerciales'!$B$5,0)</f>
        <v>337.933615322681</v>
      </c>
      <c r="H89" s="7" t="s">
        <v>12</v>
      </c>
      <c r="I89" s="7" t="s">
        <v>13</v>
      </c>
    </row>
    <row r="90" customFormat="false" ht="15" hidden="false" customHeight="false" outlineLevel="0" collapsed="false">
      <c r="A90" s="2" t="n">
        <v>86</v>
      </c>
      <c r="B90" s="2" t="s">
        <v>197</v>
      </c>
      <c r="C90" s="3" t="s">
        <v>189</v>
      </c>
      <c r="D90" s="3" t="s">
        <v>198</v>
      </c>
      <c r="E90" s="4" t="n">
        <v>1180</v>
      </c>
      <c r="F90" s="5" t="n">
        <f aca="false">E90*1000</f>
        <v>1180000</v>
      </c>
      <c r="G90" s="6" t="n">
        <f aca="false">IFERROR(F90/'Reglas Comerciales'!$B$5,0)</f>
        <v>267.625279248835</v>
      </c>
      <c r="H90" s="2" t="s">
        <v>12</v>
      </c>
      <c r="I90" s="2" t="s">
        <v>13</v>
      </c>
    </row>
    <row r="91" customFormat="false" ht="15" hidden="false" customHeight="false" outlineLevel="0" collapsed="false">
      <c r="A91" s="7" t="n">
        <v>87</v>
      </c>
      <c r="B91" s="7" t="s">
        <v>199</v>
      </c>
      <c r="C91" s="8" t="s">
        <v>200</v>
      </c>
      <c r="D91" s="8" t="s">
        <v>201</v>
      </c>
      <c r="E91" s="9" t="n">
        <v>2320</v>
      </c>
      <c r="F91" s="10" t="n">
        <f aca="false">E91*1000</f>
        <v>2320000</v>
      </c>
      <c r="G91" s="11" t="n">
        <f aca="false">IFERROR(F91/'Reglas Comerciales'!$B$5,0)</f>
        <v>526.178515133302</v>
      </c>
      <c r="H91" s="7" t="s">
        <v>12</v>
      </c>
      <c r="I91" s="7" t="s">
        <v>13</v>
      </c>
    </row>
    <row r="92" customFormat="false" ht="15" hidden="false" customHeight="false" outlineLevel="0" collapsed="false">
      <c r="A92" s="2" t="n">
        <v>88</v>
      </c>
      <c r="B92" s="2" t="s">
        <v>202</v>
      </c>
      <c r="C92" s="3" t="s">
        <v>203</v>
      </c>
      <c r="D92" s="3" t="s">
        <v>204</v>
      </c>
      <c r="E92" s="4" t="n">
        <v>5690</v>
      </c>
      <c r="F92" s="5" t="n">
        <f aca="false">E92*1000</f>
        <v>5690000</v>
      </c>
      <c r="G92" s="6" t="n">
        <f aca="false">IFERROR(F92/'Reglas Comerciales'!$B$5,0)</f>
        <v>1290.49816858125</v>
      </c>
      <c r="H92" s="2" t="s">
        <v>12</v>
      </c>
      <c r="I92" s="2" t="s">
        <v>13</v>
      </c>
    </row>
    <row r="93" customFormat="false" ht="15" hidden="false" customHeight="false" outlineLevel="0" collapsed="false">
      <c r="A93" s="7" t="n">
        <v>89</v>
      </c>
      <c r="B93" s="7" t="s">
        <v>205</v>
      </c>
      <c r="C93" s="8" t="s">
        <v>203</v>
      </c>
      <c r="D93" s="8" t="s">
        <v>206</v>
      </c>
      <c r="E93" s="9" t="n">
        <v>1250</v>
      </c>
      <c r="F93" s="10" t="n">
        <f aca="false">E93*1000</f>
        <v>1250000</v>
      </c>
      <c r="G93" s="11" t="n">
        <f aca="false">IFERROR(F93/'Reglas Comerciales'!$B$5,0)</f>
        <v>283.501355136478</v>
      </c>
      <c r="H93" s="7" t="s">
        <v>12</v>
      </c>
      <c r="I93" s="7" t="s">
        <v>13</v>
      </c>
    </row>
    <row r="94" customFormat="false" ht="15" hidden="false" customHeight="false" outlineLevel="0" collapsed="false">
      <c r="A94" s="2" t="n">
        <v>90</v>
      </c>
      <c r="B94" s="2" t="s">
        <v>207</v>
      </c>
      <c r="C94" s="3" t="s">
        <v>203</v>
      </c>
      <c r="D94" s="3" t="s">
        <v>208</v>
      </c>
      <c r="E94" s="4" t="n">
        <v>1310</v>
      </c>
      <c r="F94" s="5" t="n">
        <f aca="false">E94*1000</f>
        <v>1310000</v>
      </c>
      <c r="G94" s="6" t="n">
        <f aca="false">IFERROR(F94/'Reglas Comerciales'!$B$5,0)</f>
        <v>297.109420183029</v>
      </c>
      <c r="H94" s="2" t="s">
        <v>12</v>
      </c>
      <c r="I94" s="2" t="s">
        <v>13</v>
      </c>
    </row>
    <row r="95" customFormat="false" ht="15" hidden="false" customHeight="false" outlineLevel="0" collapsed="false">
      <c r="A95" s="7" t="s">
        <v>24</v>
      </c>
      <c r="B95" s="7" t="s">
        <v>209</v>
      </c>
      <c r="C95" s="8" t="s">
        <v>203</v>
      </c>
      <c r="D95" s="8" t="s">
        <v>210</v>
      </c>
      <c r="E95" s="9" t="n">
        <v>13540</v>
      </c>
      <c r="F95" s="10" t="n">
        <f aca="false">E95*1000</f>
        <v>13540000</v>
      </c>
      <c r="G95" s="11" t="n">
        <f aca="false">IFERROR(F95/'Reglas Comerciales'!$B$5,0)</f>
        <v>3070.88667883833</v>
      </c>
      <c r="H95" s="7" t="s">
        <v>12</v>
      </c>
      <c r="I95" s="7" t="s">
        <v>13</v>
      </c>
    </row>
    <row r="96" customFormat="false" ht="15" hidden="false" customHeight="false" outlineLevel="0" collapsed="false">
      <c r="A96" s="2" t="s">
        <v>24</v>
      </c>
      <c r="B96" s="2" t="s">
        <v>211</v>
      </c>
      <c r="C96" s="3" t="s">
        <v>59</v>
      </c>
      <c r="D96" s="3" t="s">
        <v>212</v>
      </c>
      <c r="E96" s="4" t="n">
        <v>1119</v>
      </c>
      <c r="F96" s="5" t="n">
        <f aca="false">E96*1000</f>
        <v>1119000</v>
      </c>
      <c r="G96" s="6" t="n">
        <f aca="false">IFERROR(F96/'Reglas Comerciales'!$B$5,0)</f>
        <v>253.790413118175</v>
      </c>
      <c r="H96" s="2" t="s">
        <v>61</v>
      </c>
      <c r="I96" s="2" t="s">
        <v>13</v>
      </c>
    </row>
    <row r="97" customFormat="false" ht="15" hidden="false" customHeight="false" outlineLevel="0" collapsed="false">
      <c r="A97" s="7" t="s">
        <v>24</v>
      </c>
      <c r="B97" s="7" t="s">
        <v>213</v>
      </c>
      <c r="C97" s="8" t="s">
        <v>59</v>
      </c>
      <c r="D97" s="8" t="s">
        <v>214</v>
      </c>
      <c r="E97" s="9" t="n">
        <v>2719</v>
      </c>
      <c r="F97" s="10" t="n">
        <f aca="false">E97*1000</f>
        <v>2719000</v>
      </c>
      <c r="G97" s="11" t="n">
        <f aca="false">IFERROR(F97/'Reglas Comerciales'!$B$5,0)</f>
        <v>616.672147692866</v>
      </c>
      <c r="H97" s="7" t="s">
        <v>61</v>
      </c>
      <c r="I97" s="7" t="s">
        <v>13</v>
      </c>
    </row>
    <row r="98" customFormat="false" ht="15" hidden="false" customHeight="false" outlineLevel="0" collapsed="false">
      <c r="A98" s="2" t="s">
        <v>24</v>
      </c>
      <c r="B98" s="2" t="s">
        <v>215</v>
      </c>
      <c r="C98" s="3" t="s">
        <v>59</v>
      </c>
      <c r="D98" s="3" t="s">
        <v>216</v>
      </c>
      <c r="E98" s="4" t="n">
        <v>439</v>
      </c>
      <c r="F98" s="5" t="n">
        <f aca="false">E98*1000</f>
        <v>439000</v>
      </c>
      <c r="G98" s="6" t="n">
        <f aca="false">IFERROR(F98/'Reglas Comerciales'!$B$5,0)</f>
        <v>99.5656759239309</v>
      </c>
      <c r="H98" s="2" t="s">
        <v>61</v>
      </c>
      <c r="I98" s="2" t="s">
        <v>13</v>
      </c>
    </row>
    <row r="99" customFormat="false" ht="15" hidden="false" customHeight="false" outlineLevel="0" collapsed="false">
      <c r="A99" s="7" t="n">
        <v>91</v>
      </c>
      <c r="B99" s="7" t="s">
        <v>217</v>
      </c>
      <c r="C99" s="8" t="s">
        <v>59</v>
      </c>
      <c r="D99" s="8" t="s">
        <v>218</v>
      </c>
      <c r="E99" s="9" t="n">
        <v>790</v>
      </c>
      <c r="F99" s="10" t="n">
        <f aca="false">E99*1000</f>
        <v>790000</v>
      </c>
      <c r="G99" s="11" t="n">
        <f aca="false">IFERROR(F99/'Reglas Comerciales'!$B$5,0)</f>
        <v>179.172856446254</v>
      </c>
      <c r="H99" s="7" t="s">
        <v>61</v>
      </c>
      <c r="I99" s="7" t="s">
        <v>13</v>
      </c>
    </row>
    <row r="100" customFormat="false" ht="15" hidden="false" customHeight="false" outlineLevel="0" collapsed="false">
      <c r="A100" s="2" t="n">
        <v>92</v>
      </c>
      <c r="B100" s="2" t="s">
        <v>219</v>
      </c>
      <c r="C100" s="3" t="s">
        <v>220</v>
      </c>
      <c r="D100" s="3" t="s">
        <v>221</v>
      </c>
      <c r="E100" s="4" t="n">
        <v>180</v>
      </c>
      <c r="F100" s="5" t="n">
        <f aca="false">E100*1000</f>
        <v>180000</v>
      </c>
      <c r="G100" s="6" t="n">
        <f aca="false">IFERROR(F100/'Reglas Comerciales'!$B$5,0)</f>
        <v>40.8241951396528</v>
      </c>
      <c r="H100" s="2" t="s">
        <v>12</v>
      </c>
      <c r="I100" s="2" t="s">
        <v>13</v>
      </c>
    </row>
    <row r="101" customFormat="false" ht="15" hidden="false" customHeight="false" outlineLevel="0" collapsed="false">
      <c r="A101" s="7" t="n">
        <v>93</v>
      </c>
      <c r="B101" s="7" t="s">
        <v>222</v>
      </c>
      <c r="C101" s="8" t="s">
        <v>220</v>
      </c>
      <c r="D101" s="8" t="s">
        <v>223</v>
      </c>
      <c r="E101" s="9" t="n">
        <v>180</v>
      </c>
      <c r="F101" s="10" t="n">
        <f aca="false">E101*1000</f>
        <v>180000</v>
      </c>
      <c r="G101" s="11" t="n">
        <f aca="false">IFERROR(F101/'Reglas Comerciales'!$B$5,0)</f>
        <v>40.8241951396528</v>
      </c>
      <c r="H101" s="7" t="s">
        <v>12</v>
      </c>
      <c r="I101" s="7" t="s">
        <v>13</v>
      </c>
    </row>
    <row r="102" customFormat="false" ht="15" hidden="false" customHeight="false" outlineLevel="0" collapsed="false">
      <c r="A102" s="2" t="n">
        <v>94</v>
      </c>
      <c r="B102" s="2" t="s">
        <v>224</v>
      </c>
      <c r="C102" s="3" t="s">
        <v>220</v>
      </c>
      <c r="D102" s="3" t="s">
        <v>225</v>
      </c>
      <c r="E102" s="4" t="n">
        <v>260</v>
      </c>
      <c r="F102" s="5" t="n">
        <f aca="false">E102*1000</f>
        <v>260000</v>
      </c>
      <c r="G102" s="6" t="n">
        <f aca="false">IFERROR(F102/'Reglas Comerciales'!$B$5,0)</f>
        <v>58.9682818683873</v>
      </c>
      <c r="H102" s="2" t="s">
        <v>12</v>
      </c>
      <c r="I102" s="2" t="s">
        <v>13</v>
      </c>
    </row>
    <row r="103" customFormat="false" ht="15" hidden="false" customHeight="false" outlineLevel="0" collapsed="false">
      <c r="A103" s="7" t="n">
        <v>95</v>
      </c>
      <c r="B103" s="7" t="s">
        <v>226</v>
      </c>
      <c r="C103" s="8" t="s">
        <v>220</v>
      </c>
      <c r="D103" s="8" t="s">
        <v>227</v>
      </c>
      <c r="E103" s="9" t="n">
        <v>460</v>
      </c>
      <c r="F103" s="10" t="n">
        <f aca="false">E103*1000</f>
        <v>460000</v>
      </c>
      <c r="G103" s="11" t="n">
        <f aca="false">IFERROR(F103/'Reglas Comerciales'!$B$5,0)</f>
        <v>104.328498690224</v>
      </c>
      <c r="H103" s="7" t="s">
        <v>12</v>
      </c>
      <c r="I103" s="7" t="s">
        <v>13</v>
      </c>
    </row>
    <row r="104" customFormat="false" ht="15" hidden="false" customHeight="false" outlineLevel="0" collapsed="false">
      <c r="A104" s="2" t="n">
        <v>96</v>
      </c>
      <c r="B104" s="2" t="s">
        <v>228</v>
      </c>
      <c r="C104" s="3" t="s">
        <v>220</v>
      </c>
      <c r="D104" s="3" t="s">
        <v>229</v>
      </c>
      <c r="E104" s="4" t="n">
        <v>630</v>
      </c>
      <c r="F104" s="5" t="n">
        <f aca="false">E104*1000</f>
        <v>630000</v>
      </c>
      <c r="G104" s="6" t="n">
        <f aca="false">IFERROR(F104/'Reglas Comerciales'!$B$5,0)</f>
        <v>142.884682988785</v>
      </c>
      <c r="H104" s="2" t="s">
        <v>12</v>
      </c>
      <c r="I104" s="2" t="s">
        <v>13</v>
      </c>
    </row>
    <row r="105" customFormat="false" ht="15" hidden="false" customHeight="false" outlineLevel="0" collapsed="false">
      <c r="A105" s="7" t="n">
        <v>97</v>
      </c>
      <c r="B105" s="7" t="s">
        <v>230</v>
      </c>
      <c r="C105" s="8" t="s">
        <v>220</v>
      </c>
      <c r="D105" s="8" t="s">
        <v>231</v>
      </c>
      <c r="E105" s="9" t="n">
        <v>240</v>
      </c>
      <c r="F105" s="10" t="n">
        <f aca="false">E105*1000</f>
        <v>240000</v>
      </c>
      <c r="G105" s="11" t="n">
        <f aca="false">IFERROR(F105/'Reglas Comerciales'!$B$5,0)</f>
        <v>54.4322601862037</v>
      </c>
      <c r="H105" s="7" t="s">
        <v>12</v>
      </c>
      <c r="I105" s="7" t="s">
        <v>13</v>
      </c>
    </row>
    <row r="106" customFormat="false" ht="15" hidden="false" customHeight="false" outlineLevel="0" collapsed="false">
      <c r="A106" s="2" t="n">
        <v>98</v>
      </c>
      <c r="B106" s="2" t="s">
        <v>232</v>
      </c>
      <c r="C106" s="3" t="s">
        <v>220</v>
      </c>
      <c r="D106" s="3" t="s">
        <v>233</v>
      </c>
      <c r="E106" s="4" t="n">
        <v>320</v>
      </c>
      <c r="F106" s="5" t="n">
        <f aca="false">E106*1000</f>
        <v>320000</v>
      </c>
      <c r="G106" s="6" t="n">
        <f aca="false">IFERROR(F106/'Reglas Comerciales'!$B$5,0)</f>
        <v>72.5763469149383</v>
      </c>
      <c r="H106" s="2" t="s">
        <v>12</v>
      </c>
      <c r="I106" s="2" t="s">
        <v>13</v>
      </c>
    </row>
    <row r="107" customFormat="false" ht="15" hidden="false" customHeight="false" outlineLevel="0" collapsed="false">
      <c r="A107" s="7" t="n">
        <v>99</v>
      </c>
      <c r="B107" s="7" t="s">
        <v>234</v>
      </c>
      <c r="C107" s="8" t="s">
        <v>220</v>
      </c>
      <c r="D107" s="8" t="s">
        <v>235</v>
      </c>
      <c r="E107" s="9" t="n">
        <v>520</v>
      </c>
      <c r="F107" s="10" t="n">
        <f aca="false">E107*1000</f>
        <v>520000</v>
      </c>
      <c r="G107" s="11" t="n">
        <f aca="false">IFERROR(F107/'Reglas Comerciales'!$B$5,0)</f>
        <v>117.936563736775</v>
      </c>
      <c r="H107" s="7" t="s">
        <v>12</v>
      </c>
      <c r="I107" s="7" t="s">
        <v>13</v>
      </c>
    </row>
    <row r="108" customFormat="false" ht="15" hidden="false" customHeight="false" outlineLevel="0" collapsed="false">
      <c r="A108" s="2" t="n">
        <v>100</v>
      </c>
      <c r="B108" s="2" t="s">
        <v>236</v>
      </c>
      <c r="C108" s="3" t="s">
        <v>220</v>
      </c>
      <c r="D108" s="3" t="s">
        <v>237</v>
      </c>
      <c r="E108" s="4" t="n">
        <v>200</v>
      </c>
      <c r="F108" s="5" t="n">
        <f aca="false">E108*1000</f>
        <v>200000</v>
      </c>
      <c r="G108" s="6" t="n">
        <f aca="false">IFERROR(F108/'Reglas Comerciales'!$B$5,0)</f>
        <v>45.3602168218364</v>
      </c>
      <c r="H108" s="2" t="s">
        <v>12</v>
      </c>
      <c r="I108" s="2" t="s">
        <v>13</v>
      </c>
    </row>
    <row r="109" customFormat="false" ht="15" hidden="false" customHeight="false" outlineLevel="0" collapsed="false">
      <c r="A109" s="7" t="n">
        <v>101</v>
      </c>
      <c r="B109" s="7" t="s">
        <v>238</v>
      </c>
      <c r="C109" s="8" t="s">
        <v>220</v>
      </c>
      <c r="D109" s="8" t="s">
        <v>239</v>
      </c>
      <c r="E109" s="9" t="n">
        <v>300</v>
      </c>
      <c r="F109" s="10" t="n">
        <f aca="false">E109*1000</f>
        <v>300000</v>
      </c>
      <c r="G109" s="11" t="n">
        <f aca="false">IFERROR(F109/'Reglas Comerciales'!$B$5,0)</f>
        <v>68.0403252327546</v>
      </c>
      <c r="H109" s="7" t="s">
        <v>12</v>
      </c>
      <c r="I109" s="7" t="s">
        <v>13</v>
      </c>
    </row>
    <row r="110" customFormat="false" ht="15" hidden="false" customHeight="false" outlineLevel="0" collapsed="false">
      <c r="A110" s="2" t="n">
        <v>102</v>
      </c>
      <c r="B110" s="2" t="s">
        <v>240</v>
      </c>
      <c r="C110" s="3" t="s">
        <v>220</v>
      </c>
      <c r="D110" s="3" t="s">
        <v>241</v>
      </c>
      <c r="E110" s="4" t="n">
        <v>350</v>
      </c>
      <c r="F110" s="5" t="n">
        <f aca="false">E110*1000</f>
        <v>350000</v>
      </c>
      <c r="G110" s="6" t="n">
        <f aca="false">IFERROR(F110/'Reglas Comerciales'!$B$5,0)</f>
        <v>79.3803794382137</v>
      </c>
      <c r="H110" s="2" t="s">
        <v>12</v>
      </c>
      <c r="I110" s="2" t="s">
        <v>13</v>
      </c>
    </row>
    <row r="111" customFormat="false" ht="15" hidden="false" customHeight="false" outlineLevel="0" collapsed="false">
      <c r="A111" s="7" t="n">
        <v>103</v>
      </c>
      <c r="B111" s="7" t="s">
        <v>242</v>
      </c>
      <c r="C111" s="8" t="s">
        <v>220</v>
      </c>
      <c r="D111" s="8" t="s">
        <v>243</v>
      </c>
      <c r="E111" s="9" t="n">
        <v>600</v>
      </c>
      <c r="F111" s="10" t="n">
        <f aca="false">E111*1000</f>
        <v>600000</v>
      </c>
      <c r="G111" s="11" t="n">
        <f aca="false">IFERROR(F111/'Reglas Comerciales'!$B$5,0)</f>
        <v>136.080650465509</v>
      </c>
      <c r="H111" s="7" t="s">
        <v>12</v>
      </c>
      <c r="I111" s="7" t="s">
        <v>13</v>
      </c>
    </row>
    <row r="112" customFormat="false" ht="15" hidden="false" customHeight="false" outlineLevel="0" collapsed="false">
      <c r="A112" s="2" t="n">
        <v>104</v>
      </c>
      <c r="B112" s="2" t="s">
        <v>244</v>
      </c>
      <c r="C112" s="3" t="s">
        <v>220</v>
      </c>
      <c r="D112" s="3" t="s">
        <v>245</v>
      </c>
      <c r="E112" s="4" t="n">
        <v>230</v>
      </c>
      <c r="F112" s="5" t="n">
        <f aca="false">E112*1000</f>
        <v>230000</v>
      </c>
      <c r="G112" s="6" t="n">
        <f aca="false">IFERROR(F112/'Reglas Comerciales'!$B$5,0)</f>
        <v>52.1642493451119</v>
      </c>
      <c r="H112" s="2" t="s">
        <v>12</v>
      </c>
      <c r="I112" s="2" t="s">
        <v>13</v>
      </c>
    </row>
    <row r="113" customFormat="false" ht="15" hidden="false" customHeight="false" outlineLevel="0" collapsed="false">
      <c r="A113" s="7" t="n">
        <v>105</v>
      </c>
      <c r="B113" s="7" t="s">
        <v>246</v>
      </c>
      <c r="C113" s="8" t="s">
        <v>220</v>
      </c>
      <c r="D113" s="8" t="s">
        <v>247</v>
      </c>
      <c r="E113" s="9" t="n">
        <v>200</v>
      </c>
      <c r="F113" s="10" t="n">
        <f aca="false">E113*1000</f>
        <v>200000</v>
      </c>
      <c r="G113" s="11" t="n">
        <f aca="false">IFERROR(F113/'Reglas Comerciales'!$B$5,0)</f>
        <v>45.3602168218364</v>
      </c>
      <c r="H113" s="7" t="s">
        <v>12</v>
      </c>
      <c r="I113" s="7" t="s">
        <v>13</v>
      </c>
    </row>
    <row r="114" customFormat="false" ht="15" hidden="false" customHeight="false" outlineLevel="0" collapsed="false">
      <c r="A114" s="2" t="n">
        <v>106</v>
      </c>
      <c r="B114" s="2" t="s">
        <v>248</v>
      </c>
      <c r="C114" s="3" t="s">
        <v>220</v>
      </c>
      <c r="D114" s="3" t="s">
        <v>249</v>
      </c>
      <c r="E114" s="4" t="n">
        <v>260</v>
      </c>
      <c r="F114" s="5" t="n">
        <f aca="false">E114*1000</f>
        <v>260000</v>
      </c>
      <c r="G114" s="6" t="n">
        <f aca="false">IFERROR(F114/'Reglas Comerciales'!$B$5,0)</f>
        <v>58.9682818683873</v>
      </c>
      <c r="H114" s="2" t="s">
        <v>12</v>
      </c>
      <c r="I114" s="2" t="s">
        <v>13</v>
      </c>
    </row>
    <row r="115" customFormat="false" ht="15" hidden="false" customHeight="false" outlineLevel="0" collapsed="false">
      <c r="A115" s="7" t="n">
        <v>107</v>
      </c>
      <c r="B115" s="7" t="s">
        <v>250</v>
      </c>
      <c r="C115" s="8" t="s">
        <v>220</v>
      </c>
      <c r="D115" s="8" t="s">
        <v>251</v>
      </c>
      <c r="E115" s="9" t="n">
        <v>230</v>
      </c>
      <c r="F115" s="10" t="n">
        <f aca="false">E115*1000</f>
        <v>230000</v>
      </c>
      <c r="G115" s="11" t="n">
        <f aca="false">IFERROR(F115/'Reglas Comerciales'!$B$5,0)</f>
        <v>52.1642493451119</v>
      </c>
      <c r="H115" s="7" t="s">
        <v>12</v>
      </c>
      <c r="I115" s="7" t="s">
        <v>13</v>
      </c>
    </row>
    <row r="116" customFormat="false" ht="15" hidden="false" customHeight="false" outlineLevel="0" collapsed="false">
      <c r="A116" s="2" t="n">
        <v>108</v>
      </c>
      <c r="B116" s="2" t="s">
        <v>252</v>
      </c>
      <c r="C116" s="3" t="s">
        <v>220</v>
      </c>
      <c r="D116" s="3" t="s">
        <v>253</v>
      </c>
      <c r="E116" s="4" t="n">
        <v>580</v>
      </c>
      <c r="F116" s="5" t="n">
        <f aca="false">E116*1000</f>
        <v>580000</v>
      </c>
      <c r="G116" s="6" t="n">
        <f aca="false">IFERROR(F116/'Reglas Comerciales'!$B$5,0)</f>
        <v>131.544628783326</v>
      </c>
      <c r="H116" s="2" t="s">
        <v>12</v>
      </c>
      <c r="I116" s="2" t="s">
        <v>13</v>
      </c>
    </row>
    <row r="117" customFormat="false" ht="15" hidden="false" customHeight="false" outlineLevel="0" collapsed="false">
      <c r="A117" s="7" t="n">
        <v>109</v>
      </c>
      <c r="B117" s="7" t="s">
        <v>254</v>
      </c>
      <c r="C117" s="8" t="s">
        <v>220</v>
      </c>
      <c r="D117" s="8" t="s">
        <v>255</v>
      </c>
      <c r="E117" s="9" t="n">
        <v>200</v>
      </c>
      <c r="F117" s="10" t="n">
        <f aca="false">E117*1000</f>
        <v>200000</v>
      </c>
      <c r="G117" s="11" t="n">
        <f aca="false">IFERROR(F117/'Reglas Comerciales'!$B$5,0)</f>
        <v>45.3602168218364</v>
      </c>
      <c r="H117" s="7" t="s">
        <v>12</v>
      </c>
      <c r="I117" s="7" t="s">
        <v>13</v>
      </c>
    </row>
    <row r="118" customFormat="false" ht="15" hidden="false" customHeight="false" outlineLevel="0" collapsed="false">
      <c r="A118" s="2" t="n">
        <v>110</v>
      </c>
      <c r="B118" s="2" t="s">
        <v>256</v>
      </c>
      <c r="C118" s="3" t="s">
        <v>220</v>
      </c>
      <c r="D118" s="3" t="s">
        <v>257</v>
      </c>
      <c r="E118" s="4" t="n">
        <v>210</v>
      </c>
      <c r="F118" s="5" t="n">
        <f aca="false">E118*1000</f>
        <v>210000</v>
      </c>
      <c r="G118" s="6" t="n">
        <f aca="false">IFERROR(F118/'Reglas Comerciales'!$B$5,0)</f>
        <v>47.6282276629282</v>
      </c>
      <c r="H118" s="2" t="s">
        <v>12</v>
      </c>
      <c r="I118" s="2" t="s">
        <v>13</v>
      </c>
    </row>
    <row r="119" customFormat="false" ht="15" hidden="false" customHeight="false" outlineLevel="0" collapsed="false">
      <c r="A119" s="7" t="n">
        <v>111</v>
      </c>
      <c r="B119" s="7" t="s">
        <v>258</v>
      </c>
      <c r="C119" s="8" t="s">
        <v>220</v>
      </c>
      <c r="D119" s="8" t="s">
        <v>259</v>
      </c>
      <c r="E119" s="9" t="n">
        <v>240</v>
      </c>
      <c r="F119" s="10" t="n">
        <f aca="false">E119*1000</f>
        <v>240000</v>
      </c>
      <c r="G119" s="11" t="n">
        <f aca="false">IFERROR(F119/'Reglas Comerciales'!$B$5,0)</f>
        <v>54.4322601862037</v>
      </c>
      <c r="H119" s="7" t="s">
        <v>12</v>
      </c>
      <c r="I119" s="7" t="s">
        <v>13</v>
      </c>
    </row>
    <row r="120" customFormat="false" ht="15" hidden="false" customHeight="false" outlineLevel="0" collapsed="false">
      <c r="A120" s="2" t="n">
        <v>112</v>
      </c>
      <c r="B120" s="2" t="s">
        <v>260</v>
      </c>
      <c r="C120" s="3" t="s">
        <v>220</v>
      </c>
      <c r="D120" s="3" t="s">
        <v>261</v>
      </c>
      <c r="E120" s="4" t="n">
        <v>270</v>
      </c>
      <c r="F120" s="5" t="n">
        <f aca="false">E120*1000</f>
        <v>270000</v>
      </c>
      <c r="G120" s="6" t="n">
        <f aca="false">IFERROR(F120/'Reglas Comerciales'!$B$5,0)</f>
        <v>61.2362927094792</v>
      </c>
      <c r="H120" s="2" t="s">
        <v>12</v>
      </c>
      <c r="I120" s="2" t="s">
        <v>13</v>
      </c>
    </row>
    <row r="121" customFormat="false" ht="15" hidden="false" customHeight="false" outlineLevel="0" collapsed="false">
      <c r="A121" s="7" t="n">
        <v>113</v>
      </c>
      <c r="B121" s="7" t="s">
        <v>262</v>
      </c>
      <c r="C121" s="8" t="s">
        <v>220</v>
      </c>
      <c r="D121" s="8" t="s">
        <v>263</v>
      </c>
      <c r="E121" s="9" t="n">
        <v>210</v>
      </c>
      <c r="F121" s="10" t="n">
        <f aca="false">E121*1000</f>
        <v>210000</v>
      </c>
      <c r="G121" s="11" t="n">
        <f aca="false">IFERROR(F121/'Reglas Comerciales'!$B$5,0)</f>
        <v>47.6282276629282</v>
      </c>
      <c r="H121" s="7" t="s">
        <v>12</v>
      </c>
      <c r="I121" s="7" t="s">
        <v>13</v>
      </c>
    </row>
    <row r="122" customFormat="false" ht="15" hidden="false" customHeight="false" outlineLevel="0" collapsed="false">
      <c r="A122" s="2" t="n">
        <v>114</v>
      </c>
      <c r="B122" s="2" t="s">
        <v>264</v>
      </c>
      <c r="C122" s="3" t="s">
        <v>220</v>
      </c>
      <c r="D122" s="3" t="s">
        <v>265</v>
      </c>
      <c r="E122" s="4" t="n">
        <v>240</v>
      </c>
      <c r="F122" s="5" t="n">
        <f aca="false">E122*1000</f>
        <v>240000</v>
      </c>
      <c r="G122" s="6" t="n">
        <f aca="false">IFERROR(F122/'Reglas Comerciales'!$B$5,0)</f>
        <v>54.4322601862037</v>
      </c>
      <c r="H122" s="2" t="s">
        <v>12</v>
      </c>
      <c r="I122" s="2" t="s">
        <v>13</v>
      </c>
    </row>
    <row r="123" customFormat="false" ht="15" hidden="false" customHeight="false" outlineLevel="0" collapsed="false">
      <c r="A123" s="7" t="n">
        <v>115</v>
      </c>
      <c r="B123" s="7" t="s">
        <v>266</v>
      </c>
      <c r="C123" s="8" t="s">
        <v>220</v>
      </c>
      <c r="D123" s="8" t="s">
        <v>267</v>
      </c>
      <c r="E123" s="9" t="n">
        <v>260</v>
      </c>
      <c r="F123" s="10" t="n">
        <f aca="false">E123*1000</f>
        <v>260000</v>
      </c>
      <c r="G123" s="11" t="n">
        <f aca="false">IFERROR(F123/'Reglas Comerciales'!$B$5,0)</f>
        <v>58.9682818683873</v>
      </c>
      <c r="H123" s="7" t="s">
        <v>12</v>
      </c>
      <c r="I123" s="7" t="s">
        <v>13</v>
      </c>
    </row>
    <row r="124" customFormat="false" ht="15" hidden="false" customHeight="false" outlineLevel="0" collapsed="false">
      <c r="A124" s="2" t="n">
        <v>116</v>
      </c>
      <c r="B124" s="2" t="s">
        <v>268</v>
      </c>
      <c r="C124" s="3" t="s">
        <v>220</v>
      </c>
      <c r="D124" s="3" t="s">
        <v>269</v>
      </c>
      <c r="E124" s="4" t="n">
        <v>240</v>
      </c>
      <c r="F124" s="5" t="n">
        <f aca="false">E124*1000</f>
        <v>240000</v>
      </c>
      <c r="G124" s="6" t="n">
        <f aca="false">IFERROR(F124/'Reglas Comerciales'!$B$5,0)</f>
        <v>54.4322601862037</v>
      </c>
      <c r="H124" s="2" t="s">
        <v>12</v>
      </c>
      <c r="I124" s="2" t="s">
        <v>13</v>
      </c>
    </row>
    <row r="125" customFormat="false" ht="15" hidden="false" customHeight="false" outlineLevel="0" collapsed="false">
      <c r="A125" s="7" t="n">
        <v>117</v>
      </c>
      <c r="B125" s="7" t="s">
        <v>270</v>
      </c>
      <c r="C125" s="8" t="s">
        <v>220</v>
      </c>
      <c r="D125" s="8" t="s">
        <v>271</v>
      </c>
      <c r="E125" s="9" t="n">
        <v>210</v>
      </c>
      <c r="F125" s="10" t="n">
        <f aca="false">E125*1000</f>
        <v>210000</v>
      </c>
      <c r="G125" s="11" t="n">
        <f aca="false">IFERROR(F125/'Reglas Comerciales'!$B$5,0)</f>
        <v>47.6282276629282</v>
      </c>
      <c r="H125" s="7" t="s">
        <v>12</v>
      </c>
      <c r="I125" s="7" t="s">
        <v>13</v>
      </c>
    </row>
    <row r="126" customFormat="false" ht="15" hidden="false" customHeight="false" outlineLevel="0" collapsed="false">
      <c r="A126" s="2" t="n">
        <v>118</v>
      </c>
      <c r="B126" s="2" t="s">
        <v>272</v>
      </c>
      <c r="C126" s="3" t="s">
        <v>220</v>
      </c>
      <c r="D126" s="3" t="s">
        <v>273</v>
      </c>
      <c r="E126" s="4" t="n">
        <v>370</v>
      </c>
      <c r="F126" s="5" t="n">
        <f aca="false">E126*1000</f>
        <v>370000</v>
      </c>
      <c r="G126" s="6" t="n">
        <f aca="false">IFERROR(F126/'Reglas Comerciales'!$B$5,0)</f>
        <v>83.9164011203974</v>
      </c>
      <c r="H126" s="2" t="s">
        <v>12</v>
      </c>
      <c r="I126" s="2" t="s">
        <v>13</v>
      </c>
    </row>
    <row r="127" customFormat="false" ht="15" hidden="false" customHeight="false" outlineLevel="0" collapsed="false">
      <c r="A127" s="7" t="n">
        <v>119</v>
      </c>
      <c r="B127" s="7" t="s">
        <v>274</v>
      </c>
      <c r="C127" s="8" t="s">
        <v>220</v>
      </c>
      <c r="D127" s="8" t="s">
        <v>275</v>
      </c>
      <c r="E127" s="9" t="n">
        <v>510</v>
      </c>
      <c r="F127" s="10" t="n">
        <f aca="false">E127*1000</f>
        <v>510000</v>
      </c>
      <c r="G127" s="11" t="n">
        <f aca="false">IFERROR(F127/'Reglas Comerciales'!$B$5,0)</f>
        <v>115.668552895683</v>
      </c>
      <c r="H127" s="7" t="s">
        <v>12</v>
      </c>
      <c r="I127" s="7" t="s">
        <v>13</v>
      </c>
    </row>
    <row r="128" customFormat="false" ht="15" hidden="false" customHeight="false" outlineLevel="0" collapsed="false">
      <c r="A128" s="2" t="n">
        <v>120</v>
      </c>
      <c r="B128" s="2" t="s">
        <v>276</v>
      </c>
      <c r="C128" s="3" t="s">
        <v>220</v>
      </c>
      <c r="D128" s="3" t="s">
        <v>277</v>
      </c>
      <c r="E128" s="4" t="n">
        <v>70</v>
      </c>
      <c r="F128" s="5" t="n">
        <f aca="false">E128*1000</f>
        <v>70000</v>
      </c>
      <c r="G128" s="6" t="n">
        <f aca="false">IFERROR(F128/'Reglas Comerciales'!$B$5,0)</f>
        <v>15.8760758876427</v>
      </c>
      <c r="H128" s="2" t="s">
        <v>12</v>
      </c>
      <c r="I128" s="2" t="s">
        <v>13</v>
      </c>
    </row>
    <row r="129" customFormat="false" ht="15" hidden="false" customHeight="false" outlineLevel="0" collapsed="false">
      <c r="A129" s="7" t="n">
        <v>121</v>
      </c>
      <c r="B129" s="7" t="s">
        <v>278</v>
      </c>
      <c r="C129" s="8" t="s">
        <v>220</v>
      </c>
      <c r="D129" s="8" t="s">
        <v>279</v>
      </c>
      <c r="E129" s="9" t="n">
        <v>220</v>
      </c>
      <c r="F129" s="10" t="n">
        <f aca="false">E129*1000</f>
        <v>220000</v>
      </c>
      <c r="G129" s="11" t="n">
        <f aca="false">IFERROR(F129/'Reglas Comerciales'!$B$5,0)</f>
        <v>49.8962385040201</v>
      </c>
      <c r="H129" s="7" t="s">
        <v>12</v>
      </c>
      <c r="I129" s="7" t="s">
        <v>13</v>
      </c>
    </row>
    <row r="131" customFormat="false" ht="15" hidden="false" customHeight="false" outlineLevel="0" collapsed="false">
      <c r="D131" s="17" t="s">
        <v>280</v>
      </c>
      <c r="E131" s="18" t="n">
        <f aca="false">COUNTA(B2:B129)</f>
        <v>128</v>
      </c>
    </row>
    <row r="132" customFormat="false" ht="15" hidden="false" customHeight="false" outlineLevel="0" collapsed="false">
      <c r="D132" s="17" t="s">
        <v>281</v>
      </c>
      <c r="F132" s="19" t="n">
        <f aca="false">SUM(F2:F129)</f>
        <v>353817000</v>
      </c>
    </row>
    <row r="133" customFormat="false" ht="15" hidden="false" customHeight="false" outlineLevel="0" collapsed="false">
      <c r="D133" s="17" t="s">
        <v>282</v>
      </c>
      <c r="G133" s="20" t="n">
        <f aca="false">SUM(G2:G129)</f>
        <v>80246.0791762585</v>
      </c>
    </row>
  </sheetData>
  <autoFilter ref="A1:I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7.75" hidden="false" customHeight="true" outlineLevel="0" collapsed="false">
      <c r="A1" s="21" t="s">
        <v>283</v>
      </c>
      <c r="B1" s="21"/>
    </row>
    <row r="3" customFormat="false" ht="15" hidden="false" customHeight="false" outlineLevel="0" collapsed="false">
      <c r="A3" s="22" t="s">
        <v>284</v>
      </c>
      <c r="B3" s="22" t="s">
        <v>285</v>
      </c>
    </row>
    <row r="4" customFormat="false" ht="15" hidden="false" customHeight="false" outlineLevel="0" collapsed="false">
      <c r="A4" s="23" t="s">
        <v>286</v>
      </c>
      <c r="B4" s="23" t="s">
        <v>287</v>
      </c>
    </row>
    <row r="5" customFormat="false" ht="15" hidden="false" customHeight="false" outlineLevel="0" collapsed="false">
      <c r="A5" s="23" t="s">
        <v>288</v>
      </c>
      <c r="B5" s="24" t="n">
        <v>4409.15</v>
      </c>
    </row>
    <row r="6" customFormat="false" ht="15" hidden="false" customHeight="false" outlineLevel="0" collapsed="false">
      <c r="A6" s="23" t="s">
        <v>289</v>
      </c>
      <c r="B6" s="25" t="n">
        <v>0.05</v>
      </c>
    </row>
    <row r="7" customFormat="false" ht="15" hidden="false" customHeight="false" outlineLevel="0" collapsed="false">
      <c r="A7" s="23" t="s">
        <v>290</v>
      </c>
      <c r="B7" s="25" t="n">
        <v>0.2</v>
      </c>
    </row>
    <row r="8" customFormat="false" ht="15" hidden="false" customHeight="false" outlineLevel="0" collapsed="false">
      <c r="A8" s="23" t="s">
        <v>291</v>
      </c>
      <c r="B8" s="25" t="n">
        <v>0</v>
      </c>
    </row>
    <row r="9" customFormat="false" ht="15" hidden="false" customHeight="false" outlineLevel="0" collapsed="false">
      <c r="A9" s="23" t="s">
        <v>292</v>
      </c>
      <c r="B9" s="26" t="n">
        <v>3000000</v>
      </c>
    </row>
    <row r="10" customFormat="false" ht="15" hidden="false" customHeight="false" outlineLevel="0" collapsed="false">
      <c r="A10" s="23" t="s">
        <v>293</v>
      </c>
      <c r="B10" s="23" t="s">
        <v>294</v>
      </c>
    </row>
    <row r="11" customFormat="false" ht="15" hidden="false" customHeight="false" outlineLevel="0" collapsed="false">
      <c r="A11" s="23" t="s">
        <v>295</v>
      </c>
      <c r="B11" s="23" t="s">
        <v>296</v>
      </c>
    </row>
    <row r="13" customFormat="false" ht="15" hidden="false" customHeight="false" outlineLevel="0" collapsed="false">
      <c r="A13" s="17" t="s">
        <v>297</v>
      </c>
    </row>
    <row r="14" customFormat="false" ht="15" hidden="false" customHeight="true" outlineLevel="0" collapsed="false">
      <c r="A14" s="27" t="s">
        <v>298</v>
      </c>
      <c r="B14" s="27"/>
    </row>
    <row r="15" customFormat="false" ht="15" hidden="false" customHeight="true" outlineLevel="0" collapsed="false">
      <c r="A15" s="27" t="s">
        <v>299</v>
      </c>
      <c r="B15" s="27"/>
    </row>
    <row r="16" customFormat="false" ht="28.35" hidden="false" customHeight="true" outlineLevel="0" collapsed="false">
      <c r="A16" s="27" t="s">
        <v>300</v>
      </c>
      <c r="B16" s="27"/>
    </row>
    <row r="17" customFormat="false" ht="28.35" hidden="false" customHeight="true" outlineLevel="0" collapsed="false">
      <c r="A17" s="27" t="s">
        <v>301</v>
      </c>
      <c r="B17" s="27"/>
    </row>
    <row r="18" customFormat="false" ht="15" hidden="false" customHeight="true" outlineLevel="0" collapsed="false">
      <c r="A18" s="27" t="s">
        <v>302</v>
      </c>
      <c r="B18" s="27"/>
    </row>
  </sheetData>
  <mergeCells count="6">
    <mergeCell ref="A1:B1"/>
    <mergeCell ref="A14:B14"/>
    <mergeCell ref="A15:B15"/>
    <mergeCell ref="A16:B16"/>
    <mergeCell ref="A17:B17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</cols>
  <sheetData>
    <row r="1" customFormat="false" ht="27.75" hidden="false" customHeight="true" outlineLevel="0" collapsed="false">
      <c r="A1" s="28" t="s">
        <v>303</v>
      </c>
      <c r="B1" s="28"/>
      <c r="C1" s="28"/>
      <c r="D1" s="28"/>
      <c r="E1" s="28"/>
    </row>
    <row r="3" customFormat="false" ht="26.85" hidden="false" customHeight="false" outlineLevel="0" collapsed="false">
      <c r="A3" s="1" t="s">
        <v>304</v>
      </c>
      <c r="B3" s="1" t="s">
        <v>305</v>
      </c>
      <c r="C3" s="1" t="s">
        <v>306</v>
      </c>
      <c r="D3" s="1" t="s">
        <v>307</v>
      </c>
      <c r="E3" s="1" t="s">
        <v>308</v>
      </c>
    </row>
    <row r="4" customFormat="false" ht="15" hidden="false" customHeight="false" outlineLevel="0" collapsed="false">
      <c r="A4" s="29" t="s">
        <v>10</v>
      </c>
      <c r="B4" s="9" t="n">
        <v>53</v>
      </c>
      <c r="C4" s="10" t="n">
        <v>630000</v>
      </c>
      <c r="D4" s="10" t="n">
        <v>21990000</v>
      </c>
      <c r="E4" s="10" t="n">
        <v>4451400</v>
      </c>
    </row>
    <row r="5" customFormat="false" ht="15" hidden="false" customHeight="false" outlineLevel="0" collapsed="false">
      <c r="A5" s="29" t="s">
        <v>28</v>
      </c>
      <c r="B5" s="9" t="n">
        <v>3</v>
      </c>
      <c r="C5" s="10" t="n">
        <v>5590000</v>
      </c>
      <c r="D5" s="10" t="n">
        <v>10690000</v>
      </c>
      <c r="E5" s="10" t="n">
        <v>8523333</v>
      </c>
    </row>
    <row r="6" customFormat="false" ht="15" hidden="false" customHeight="false" outlineLevel="0" collapsed="false">
      <c r="A6" s="29" t="s">
        <v>154</v>
      </c>
      <c r="B6" s="9" t="n">
        <v>10</v>
      </c>
      <c r="C6" s="10" t="n">
        <v>560000</v>
      </c>
      <c r="D6" s="10" t="n">
        <v>9390000</v>
      </c>
      <c r="E6" s="10" t="n">
        <v>2312000</v>
      </c>
    </row>
    <row r="7" customFormat="false" ht="15" hidden="false" customHeight="false" outlineLevel="0" collapsed="false">
      <c r="A7" s="29" t="s">
        <v>184</v>
      </c>
      <c r="B7" s="9" t="n">
        <v>3</v>
      </c>
      <c r="C7" s="10" t="n">
        <v>3490000</v>
      </c>
      <c r="D7" s="10" t="n">
        <v>6240000</v>
      </c>
      <c r="E7" s="10" t="n">
        <v>4973333</v>
      </c>
    </row>
    <row r="8" customFormat="false" ht="15" hidden="false" customHeight="false" outlineLevel="0" collapsed="false">
      <c r="A8" s="29" t="s">
        <v>177</v>
      </c>
      <c r="B8" s="9" t="n">
        <v>1</v>
      </c>
      <c r="C8" s="10" t="n">
        <v>8190000</v>
      </c>
      <c r="D8" s="10" t="n">
        <v>8190000</v>
      </c>
      <c r="E8" s="10" t="n">
        <v>8190000</v>
      </c>
    </row>
    <row r="9" customFormat="false" ht="15" hidden="false" customHeight="false" outlineLevel="0" collapsed="false">
      <c r="A9" s="29" t="s">
        <v>203</v>
      </c>
      <c r="B9" s="9" t="n">
        <v>4</v>
      </c>
      <c r="C9" s="10" t="n">
        <v>1250000</v>
      </c>
      <c r="D9" s="10" t="n">
        <v>13540000</v>
      </c>
      <c r="E9" s="10" t="n">
        <v>5447500</v>
      </c>
    </row>
    <row r="10" customFormat="false" ht="15" hidden="false" customHeight="false" outlineLevel="0" collapsed="false">
      <c r="A10" s="29" t="s">
        <v>200</v>
      </c>
      <c r="B10" s="9" t="n">
        <v>1</v>
      </c>
      <c r="C10" s="10" t="n">
        <v>2320000</v>
      </c>
      <c r="D10" s="10" t="n">
        <v>2320000</v>
      </c>
      <c r="E10" s="10" t="n">
        <v>2320000</v>
      </c>
    </row>
    <row r="11" customFormat="false" ht="15" hidden="false" customHeight="false" outlineLevel="0" collapsed="false">
      <c r="A11" s="29" t="s">
        <v>59</v>
      </c>
      <c r="B11" s="9" t="n">
        <v>19</v>
      </c>
      <c r="C11" s="10" t="n">
        <v>439000</v>
      </c>
      <c r="D11" s="10" t="n">
        <v>3810000</v>
      </c>
      <c r="E11" s="10" t="n">
        <v>1116158</v>
      </c>
    </row>
    <row r="12" customFormat="false" ht="15" hidden="false" customHeight="false" outlineLevel="0" collapsed="false">
      <c r="A12" s="29" t="s">
        <v>189</v>
      </c>
      <c r="B12" s="9" t="n">
        <v>4</v>
      </c>
      <c r="C12" s="10" t="n">
        <v>990000</v>
      </c>
      <c r="D12" s="10" t="n">
        <v>1490000</v>
      </c>
      <c r="E12" s="10" t="n">
        <v>1285000</v>
      </c>
    </row>
    <row r="13" customFormat="false" ht="15" hidden="false" customHeight="false" outlineLevel="0" collapsed="false">
      <c r="A13" s="29" t="s">
        <v>220</v>
      </c>
      <c r="B13" s="9" t="n">
        <v>30</v>
      </c>
      <c r="C13" s="10" t="n">
        <v>70000</v>
      </c>
      <c r="D13" s="10" t="n">
        <v>630000</v>
      </c>
      <c r="E13" s="10" t="n">
        <v>299667</v>
      </c>
    </row>
    <row r="14" customFormat="false" ht="15" hidden="false" customHeight="false" outlineLevel="0" collapsed="false">
      <c r="A14" s="30" t="s">
        <v>309</v>
      </c>
      <c r="B14" s="31" t="n">
        <f aca="false">SUM(B4:B13)</f>
        <v>128</v>
      </c>
      <c r="C14" s="32"/>
      <c r="D14" s="32"/>
      <c r="E14" s="3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2026-05-22T17:44:47Z</dcterms:created>
  <dc:creator>openpyxl</dc:creator>
  <dc:description/>
  <dc:language>en-US</dc:language>
  <cp:lastModifiedBy/>
  <dcterms:modified xsi:type="dcterms:W3CDTF">2026-05-22T17:44:47Z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